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Отделение корней" sheetId="1" state="visible" r:id="rId2"/>
    <sheet name="Пол деления" sheetId="2" state="visible" r:id="rId3"/>
    <sheet name="Хорд" sheetId="3" state="visible" r:id="rId4"/>
    <sheet name="Секущих" sheetId="4" state="visible" r:id="rId5"/>
    <sheet name="Ньютона" sheetId="5" state="visible" r:id="rId6"/>
    <sheet name="МПИ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<sst xmlns="http://schemas.openxmlformats.org/spreadsheetml/2006/main" count="242" uniqueCount="184">
  <si>
    <t xml:space="preserve">Отделение корней</t>
  </si>
  <si>
    <t xml:space="preserve">Варианты заданий в файле в объявлениях Таблица 2 (скопировать на ВСЕ листы уравнение для своего варианта)</t>
  </si>
  <si>
    <t xml:space="preserve">Записать уравнение в виде F(x)=0</t>
  </si>
  <si>
    <t xml:space="preserve">Записать уравнение в виде f1(x)=f2(x)</t>
  </si>
  <si>
    <t xml:space="preserve">x</t>
  </si>
  <si>
    <t xml:space="preserve">F(x)</t>
  </si>
  <si>
    <t xml:space="preserve">наличие корня</t>
  </si>
  <si>
    <t xml:space="preserve">h</t>
  </si>
  <si>
    <t xml:space="preserve">Алгоритм:</t>
  </si>
  <si>
    <t xml:space="preserve">f1(x)</t>
  </si>
  <si>
    <t xml:space="preserve">f2(x)</t>
  </si>
  <si>
    <t xml:space="preserve">1. Ввести начальное значение </t>
  </si>
  <si>
    <t xml:space="preserve">переменной x=a (в ячейку B4)</t>
  </si>
  <si>
    <t xml:space="preserve">xa=</t>
  </si>
  <si>
    <t xml:space="preserve">переменной x=a (в ячейку I4)</t>
  </si>
  <si>
    <t xml:space="preserve">(x-2)cosx=1</t>
  </si>
  <si>
    <t xml:space="preserve">2. Ввести шаг h (ячека E4).</t>
  </si>
  <si>
    <t xml:space="preserve">xb=</t>
  </si>
  <si>
    <t xml:space="preserve">2. Ввести шаг h (ячека M4).</t>
  </si>
  <si>
    <t xml:space="preserve">3. Заполнить столбец значений</t>
  </si>
  <si>
    <t xml:space="preserve">переменной x [a; b] с учетом шага h.</t>
  </si>
  <si>
    <t xml:space="preserve">В B5 формула: =B4+$E$4</t>
  </si>
  <si>
    <t xml:space="preserve">4. Посчитать по формуле значения</t>
  </si>
  <si>
    <t xml:space="preserve">скопировать ниже до появления значения b</t>
  </si>
  <si>
    <t xml:space="preserve"> ф-ций f1(x) и f2(x) для каждого x на интервале [a; b].</t>
  </si>
  <si>
    <t xml:space="preserve">5. Построить график функции f1(x).</t>
  </si>
  <si>
    <t xml:space="preserve"> ф-ции F(x) для каждого x на интервале [a; b].</t>
  </si>
  <si>
    <t xml:space="preserve"> точечная диаграмма с гладкими кривыми</t>
  </si>
  <si>
    <t xml:space="preserve">5. По произведению двух соседних</t>
  </si>
  <si>
    <t xml:space="preserve">6. Построить график функции f2(x)</t>
  </si>
  <si>
    <t xml:space="preserve">значений функции определить наличие</t>
  </si>
  <si>
    <t xml:space="preserve">правой кнопкой щелкнуть по графику f1(x)</t>
  </si>
  <si>
    <t xml:space="preserve">или отсутствие корня на интервале.</t>
  </si>
  <si>
    <t xml:space="preserve">выбрать данные</t>
  </si>
  <si>
    <t xml:space="preserve">формула для ячейки D5</t>
  </si>
  <si>
    <t xml:space="preserve">в появившемся окне в разделе Элементы легенды (ряды)</t>
  </si>
  <si>
    <t xml:space="preserve">щелкнуть по кнопке Добавить</t>
  </si>
  <si>
    <t xml:space="preserve">"" - пустая строка (нет никаких символов между ")</t>
  </si>
  <si>
    <t xml:space="preserve">в появившемся окне указать имя ряда: K3</t>
  </si>
  <si>
    <t xml:space="preserve">скопировать ниже для всех x</t>
  </si>
  <si>
    <t xml:space="preserve">знаения Х: I4:IN; значения Y: K4:KN</t>
  </si>
  <si>
    <t xml:space="preserve">6. Построить график функции F(x).</t>
  </si>
  <si>
    <t xml:space="preserve">подтвердить все действия</t>
  </si>
  <si>
    <t xml:space="preserve">выделить B3:CN (N-строка с последним значением)</t>
  </si>
  <si>
    <t xml:space="preserve">На вкладке Вставка в разделе Диаграммы</t>
  </si>
  <si>
    <t xml:space="preserve">выбрать - Точечная - точечная с гладкими кривыми</t>
  </si>
  <si>
    <t xml:space="preserve">ПРОВЕРИТЬ - график пересекает ось ОХ в на отрезках</t>
  </si>
  <si>
    <t xml:space="preserve">ПРОВЕРИТЬ - графики пересекается друг с другом  </t>
  </si>
  <si>
    <t xml:space="preserve">для которых в таблице указано "есть корень"</t>
  </si>
  <si>
    <t xml:space="preserve">на тех же отрезках, которые получены в первой таблице</t>
  </si>
  <si>
    <t xml:space="preserve">Для дальнейшей работывыбрать ОДИН из полученных отрезков</t>
  </si>
  <si>
    <t xml:space="preserve">его длина 0,1</t>
  </si>
  <si>
    <t xml:space="preserve">Указать выбранный отрезок</t>
  </si>
  <si>
    <t xml:space="preserve">График пересекает ОХ на отрезках для которых в таблице указано "есть корень"</t>
  </si>
  <si>
    <t xml:space="preserve">Метод половинного деления</t>
  </si>
  <si>
    <t xml:space="preserve">x0</t>
  </si>
  <si>
    <t xml:space="preserve">x1</t>
  </si>
  <si>
    <t xml:space="preserve">x2</t>
  </si>
  <si>
    <t xml:space="preserve">F(x0)</t>
  </si>
  <si>
    <t xml:space="preserve">F(x2)</t>
  </si>
  <si>
    <t xml:space="preserve">|F(x2)|</t>
  </si>
  <si>
    <t xml:space="preserve">|x0-x1|</t>
  </si>
  <si>
    <t xml:space="preserve">решение</t>
  </si>
  <si>
    <t xml:space="preserve">ε</t>
  </si>
  <si>
    <t xml:space="preserve">1. Ввести начальные значения x0, x1.</t>
  </si>
  <si>
    <t xml:space="preserve">концы отрезка (xa, xb) длиной 0,1, полученные на этапе Отделение корней</t>
  </si>
  <si>
    <t xml:space="preserve">2. Найти x2 как середину отрезка [x0; x1]</t>
  </si>
  <si>
    <t xml:space="preserve">полусумма х0 и х1</t>
  </si>
  <si>
    <t xml:space="preserve">3. Посчитать значения F(x0) и F(x2).</t>
  </si>
  <si>
    <t xml:space="preserve">по формуле из уравения F(x)=0</t>
  </si>
  <si>
    <t xml:space="preserve">4. Найти модуль разности х0 и х1</t>
  </si>
  <si>
    <t xml:space="preserve">функция для нахождения модуля (абсолютного значени) - abs()</t>
  </si>
  <si>
    <t xml:space="preserve">5. Реализовать итерационный процесс.</t>
  </si>
  <si>
    <t xml:space="preserve">если  |x0-x1|&lt;=ε (указать ссылки на соответствуюшие ячейки)</t>
  </si>
  <si>
    <t xml:space="preserve"> Остановка при вып условия |x0-x1|&lt;=ε.</t>
  </si>
  <si>
    <t xml:space="preserve">то "корень" иначе "" (пустая строка)</t>
  </si>
  <si>
    <t xml:space="preserve">6. Ввести формулы (4 строка) для определения</t>
  </si>
  <si>
    <t xml:space="preserve">для х0: если F(x0)·F(x2)&lt;0 то выбираем x0 иначе выбираем x2</t>
  </si>
  <si>
    <t xml:space="preserve">следующих значений x0 и x1 в</t>
  </si>
  <si>
    <t xml:space="preserve">для х1: если F(x0)·F(x2)&lt;0 то выбираем x2 иначе выбираем x1</t>
  </si>
  <si>
    <t xml:space="preserve">зависимости от произведения F(x0)·F(x2).</t>
  </si>
  <si>
    <t xml:space="preserve">7. Скопировать остальные формулы из 4 строки</t>
  </si>
  <si>
    <t xml:space="preserve">8. Растянуть все формулы 4 строки </t>
  </si>
  <si>
    <t xml:space="preserve">(примерно на 20 строк вниз)</t>
  </si>
  <si>
    <t xml:space="preserve">первая строка в которой в столбце Н появилось </t>
  </si>
  <si>
    <t xml:space="preserve">сообщение "корень" содержит решение (х2)</t>
  </si>
  <si>
    <t xml:space="preserve">9. Очистить все строки ниже строки</t>
  </si>
  <si>
    <t xml:space="preserve"> с сообщением "корень"</t>
  </si>
  <si>
    <t xml:space="preserve">10. В столбце А пронумеровать шаги (1, 2, 3 …)</t>
  </si>
  <si>
    <t xml:space="preserve">начинать нумеровать в 4 строке</t>
  </si>
  <si>
    <t xml:space="preserve">11. Выделить решение:</t>
  </si>
  <si>
    <t xml:space="preserve">  номер шага и значение х2 в последней строке</t>
  </si>
  <si>
    <t xml:space="preserve">Метод хорд</t>
  </si>
  <si>
    <t xml:space="preserve">F(x1)</t>
  </si>
  <si>
    <t xml:space="preserve">Решение</t>
  </si>
  <si>
    <t xml:space="preserve">2. Посчитать значения F(x0) и F(x1)</t>
  </si>
  <si>
    <t xml:space="preserve">3.Находим х2 по формуле*</t>
  </si>
  <si>
    <t xml:space="preserve">4. Найти F(x2)</t>
  </si>
  <si>
    <t xml:space="preserve">5. Найти модуль разности х0 и х1</t>
  </si>
  <si>
    <t xml:space="preserve">6. Реализовать итерационный процесс.</t>
  </si>
  <si>
    <r>
      <rPr>
        <sz val="10"/>
        <rFont val="Arial Cyr"/>
        <family val="0"/>
        <charset val="204"/>
      </rPr>
      <t xml:space="preserve">|F(x2)|&lt;= </t>
    </r>
    <r>
      <rPr>
        <sz val="10"/>
        <rFont val="Arial"/>
        <family val="2"/>
        <charset val="204"/>
      </rPr>
      <t xml:space="preserve">ᵋ</t>
    </r>
    <r>
      <rPr>
        <sz val="10"/>
        <rFont val="Arial Cyr"/>
        <family val="0"/>
        <charset val="204"/>
      </rPr>
      <t xml:space="preserve"> или |x0-x1|&lt;=</t>
    </r>
    <r>
      <rPr>
        <sz val="10"/>
        <rFont val="Arial"/>
        <family val="2"/>
        <charset val="204"/>
      </rPr>
      <t xml:space="preserve">ᵋ</t>
    </r>
  </si>
  <si>
    <t xml:space="preserve">7. Ввести формулы  для определения</t>
  </si>
  <si>
    <t xml:space="preserve">следующих значений x0 и x1 в </t>
  </si>
  <si>
    <t xml:space="preserve">8. Скопировать остальные формулы из 4 строки</t>
  </si>
  <si>
    <t xml:space="preserve">9. Растянуть все формулы 4 строки </t>
  </si>
  <si>
    <t xml:space="preserve">10. Очистить все строки ниже строки</t>
  </si>
  <si>
    <t xml:space="preserve">Метод секущих</t>
  </si>
  <si>
    <t xml:space="preserve">|x1-x0|</t>
  </si>
  <si>
    <t xml:space="preserve">1. Ввести начальные значения x0, x1 и ε.</t>
  </si>
  <si>
    <t xml:space="preserve">2. Посчитать значения F(x0) и F(x1).</t>
  </si>
  <si>
    <t xml:space="preserve">3.  Найти x2 по формуле </t>
  </si>
  <si>
    <t xml:space="preserve">x2=x0-F(x0)·(x0-x1)/(F(x0)-F(x1)).</t>
  </si>
  <si>
    <t xml:space="preserve">4. Найти |x1 - x0|</t>
  </si>
  <si>
    <t xml:space="preserve">6. Определить значения на следующей</t>
  </si>
  <si>
    <t xml:space="preserve">итерации x0=x1 и x1=x2.</t>
  </si>
  <si>
    <t xml:space="preserve">7. Пронумеровать шаги</t>
  </si>
  <si>
    <t xml:space="preserve">8. Выделить решение</t>
  </si>
  <si>
    <t xml:space="preserve">Метод касательных (Ньютона)</t>
  </si>
  <si>
    <t xml:space="preserve">1 способ</t>
  </si>
  <si>
    <t xml:space="preserve">x0=хa</t>
  </si>
  <si>
    <t xml:space="preserve">F '(x0)</t>
  </si>
  <si>
    <t xml:space="preserve">х1</t>
  </si>
  <si>
    <t xml:space="preserve">|F(x1)|</t>
  </si>
  <si>
    <t xml:space="preserve">|х1-х0|</t>
  </si>
  <si>
    <t xml:space="preserve">1. Ввести начальное значение х0</t>
  </si>
  <si>
    <t xml:space="preserve">левый или правый конец отрезка (xa или xb) длиной 0,1, полученный на этапе Отделение корней</t>
  </si>
  <si>
    <t xml:space="preserve">2. Вычислить значения функции F(x0) и</t>
  </si>
  <si>
    <t xml:space="preserve">производной F '(x0).</t>
  </si>
  <si>
    <t xml:space="preserve">3. Найти х1 по формуле =x0-F(x0)/F ’(x0).</t>
  </si>
  <si>
    <t xml:space="preserve">4. Реализовать итерационный процесс.</t>
  </si>
  <si>
    <t xml:space="preserve"> Остановка при вып условия |x1-х0|&lt;=ε.</t>
  </si>
  <si>
    <t xml:space="preserve">5. На следующей итерации x0=х1</t>
  </si>
  <si>
    <t xml:space="preserve">из предыдущего шага</t>
  </si>
  <si>
    <t xml:space="preserve">6. Пронумеровать шаги</t>
  </si>
  <si>
    <t xml:space="preserve">7. Выделить ответ - номер шага и х1</t>
  </si>
  <si>
    <t xml:space="preserve">2 способ</t>
  </si>
  <si>
    <t xml:space="preserve">x0=хb</t>
  </si>
  <si>
    <t xml:space="preserve">Метод простой итерации</t>
  </si>
  <si>
    <t xml:space="preserve">1. Заполнить столбец x от хa до хb </t>
  </si>
  <si>
    <t xml:space="preserve">в В4 ввести xa, в В5 формулу: =В4+0,01</t>
  </si>
  <si>
    <r>
      <rPr>
        <sz val="10"/>
        <rFont val="Arial Cyr"/>
        <family val="0"/>
        <charset val="204"/>
      </rPr>
      <t xml:space="preserve">x </t>
    </r>
    <r>
      <rPr>
        <sz val="10"/>
        <rFont val="Symbol"/>
        <family val="1"/>
        <charset val="2"/>
      </rPr>
      <t xml:space="preserve">Î</t>
    </r>
    <r>
      <rPr>
        <sz val="10"/>
        <rFont val="Arial Cyr"/>
        <family val="0"/>
        <charset val="204"/>
      </rPr>
      <t xml:space="preserve"> [a; b]</t>
    </r>
  </si>
  <si>
    <t xml:space="preserve">F'(x)</t>
  </si>
  <si>
    <t xml:space="preserve">|F'(x)|</t>
  </si>
  <si>
    <t xml:space="preserve">m</t>
  </si>
  <si>
    <t xml:space="preserve">f '(x)</t>
  </si>
  <si>
    <t xml:space="preserve">с шагом 0,01.</t>
  </si>
  <si>
    <t xml:space="preserve">формулу скопировать до В14</t>
  </si>
  <si>
    <t xml:space="preserve">2. Найти значение производной функции F'(x)</t>
  </si>
  <si>
    <t xml:space="preserve">и её модуля для всех x </t>
  </si>
  <si>
    <t xml:space="preserve">3. Найти значение коэффициента m по</t>
  </si>
  <si>
    <t xml:space="preserve">формуле m=1/МАКС(|F'(x)|)</t>
  </si>
  <si>
    <t xml:space="preserve">формула для ячейки Е4 =1/МАКС(D4:D14)</t>
  </si>
  <si>
    <t xml:space="preserve">4. Вычислить f '(x).</t>
  </si>
  <si>
    <t xml:space="preserve">Преобровать ф-ю F(x)=0 в f(x)=x</t>
  </si>
  <si>
    <t xml:space="preserve">если все F`(x)&gt;0, то f '(x) = 1-m*F'(x)</t>
  </si>
  <si>
    <t xml:space="preserve">f(x) = x - m*F(x) если все F`(x)&gt;0</t>
  </si>
  <si>
    <t xml:space="preserve">если все F`(x)&lt;0, то f '(x) = 1+m*F'(x)</t>
  </si>
  <si>
    <t xml:space="preserve">f(x) = x + m*F(x) если все F`(x)&lt;0</t>
  </si>
  <si>
    <t xml:space="preserve">5. Ввести начальное значения x0 в B18</t>
  </si>
  <si>
    <t xml:space="preserve">6. Найдите q=max(f '(x))</t>
  </si>
  <si>
    <t xml:space="preserve">формула для ячейки H21 =1/МАКС(F4:F14)</t>
  </si>
  <si>
    <t xml:space="preserve">7. Посчитать столбец значений F(x0).</t>
  </si>
  <si>
    <t xml:space="preserve">от ячейки D18  и ниже</t>
  </si>
  <si>
    <t xml:space="preserve">8. Посчитать столбец значений f(x0).</t>
  </si>
  <si>
    <t xml:space="preserve">от ячейки Е18  и ниже</t>
  </si>
  <si>
    <t xml:space="preserve">9. Присвоить x1=f(x0).</t>
  </si>
  <si>
    <t xml:space="preserve">в ячейке С18 формула =Е18</t>
  </si>
  <si>
    <t xml:space="preserve">10. Реализовать итерационный процесс</t>
  </si>
  <si>
    <t xml:space="preserve">f(x0)</t>
  </si>
  <si>
    <t xml:space="preserve">Остановка при условии |x1-x0|&lt;=ε(1-q)/q.</t>
  </si>
  <si>
    <t xml:space="preserve">11. На следующей итерации x0=x1.</t>
  </si>
  <si>
    <t xml:space="preserve">в ячейке В19  формула =С18</t>
  </si>
  <si>
    <t xml:space="preserve">12. Заполнить таблицу значений x, F(x), f(x) </t>
  </si>
  <si>
    <t xml:space="preserve">от В29 до D39</t>
  </si>
  <si>
    <t xml:space="preserve">q</t>
  </si>
  <si>
    <t xml:space="preserve">13. Построить график F(x)</t>
  </si>
  <si>
    <t xml:space="preserve">точечная диаграмма по таблице B28:C39</t>
  </si>
  <si>
    <t xml:space="preserve">14. Построить графики y=f(x) и y=x на одном рисунке</t>
  </si>
  <si>
    <t xml:space="preserve">Построить график y=f(x) </t>
  </si>
  <si>
    <t xml:space="preserve">точечная диаграмма по таблице: выделить B28:B39, удерживая Ctrl выделить D28:D39</t>
  </si>
  <si>
    <t xml:space="preserve">Добавить ряд для графика y=x</t>
  </si>
  <si>
    <t xml:space="preserve">имя ряда: В28</t>
  </si>
  <si>
    <t xml:space="preserve">знаения Х: В29:В39; значения Y: В29:В39 (значения х и у совпадают)</t>
  </si>
  <si>
    <t xml:space="preserve">f(x)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</si>
</sst>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Arial Cyr"/>
      <family val="2"/>
      <charset val="204"/>
    </font>
    <font>
      <b val="true"/>
      <sz val="10"/>
      <name val="Arial Cyr"/>
      <family val="2"/>
      <charset val="204"/>
    </font>
    <font>
      <u val="single"/>
      <sz val="10"/>
      <name val="Arial Cyr"/>
      <family val="0"/>
      <charset val="204"/>
    </font>
    <font>
      <sz val="9"/>
      <color rgb="FF000000"/>
      <name val="YS Text"/>
      <family val="0"/>
      <charset val="1"/>
    </font>
    <font>
      <sz val="10"/>
      <name val="Arial"/>
      <family val="2"/>
    </font>
    <font>
      <sz val="10"/>
      <name val="Arial"/>
      <family val="2"/>
      <charset val="204"/>
    </font>
    <font>
      <sz val="11"/>
      <color rgb="FF000000"/>
      <name val="Cambria Math"/>
      <family val="0"/>
      <charset val="204"/>
    </font>
    <font>
      <sz val="11"/>
      <color rgb="FF000000"/>
      <name val="Calibri"/>
      <family val="0"/>
      <charset val="204"/>
    </font>
    <font>
      <sz val="12"/>
      <color rgb="FF000000"/>
      <name val="Calibri"/>
      <family val="0"/>
      <charset val="204"/>
    </font>
    <font>
      <sz val="10"/>
      <name val="Times New Roman"/>
      <family val="1"/>
      <charset val="1"/>
    </font>
    <font>
      <sz val="11"/>
      <name val="Arial Cyr"/>
      <family val="0"/>
      <charset val="204"/>
    </font>
    <font>
      <sz val="12"/>
      <name val="Times New Roman"/>
      <family val="1"/>
      <charset val="1"/>
    </font>
    <font>
      <sz val="10"/>
      <name val="Symbol"/>
      <family val="1"/>
      <charset val="2"/>
    </font>
    <font>
      <b val="true"/>
      <sz val="10"/>
      <name val="Arial Cyr"/>
      <family val="0"/>
      <charset val="204"/>
    </font>
    <font>
      <sz val="10"/>
      <name val="Math1"/>
      <family val="0"/>
      <charset val="2"/>
    </font>
  </fonts>
  <fills count="10">
    <fill>
      <patternFill patternType="none"/>
    </fill>
    <fill>
      <patternFill patternType="gray125"/>
    </fill>
    <fill>
      <patternFill patternType="solid">
        <fgColor rgb="FFCC99FF"/>
        <bgColor rgb="FF9999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CCFFCC"/>
      </patternFill>
    </fill>
    <fill>
      <patternFill patternType="solid">
        <fgColor rgb="FFFFAA95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FFAA95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'Отделение корней'!$B$4:$B$44</c:f>
              <c:numCache>
                <c:formatCode>General</c:formatCode>
                <c:ptCount val="41"/>
                <c:pt idx="0">
                  <c:v>-5</c:v>
                </c:pt>
                <c:pt idx="1">
                  <c:v>-4.9</c:v>
                </c:pt>
                <c:pt idx="2">
                  <c:v>-4.8</c:v>
                </c:pt>
                <c:pt idx="3">
                  <c:v>-4.7</c:v>
                </c:pt>
                <c:pt idx="4">
                  <c:v>-4.6</c:v>
                </c:pt>
                <c:pt idx="5">
                  <c:v>-4.5</c:v>
                </c:pt>
                <c:pt idx="6">
                  <c:v>-4.4</c:v>
                </c:pt>
                <c:pt idx="7">
                  <c:v>-4.3</c:v>
                </c:pt>
                <c:pt idx="8">
                  <c:v>-4.2</c:v>
                </c:pt>
                <c:pt idx="9">
                  <c:v>-4.1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-2.3</c:v>
                </c:pt>
                <c:pt idx="28">
                  <c:v>-2.2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</c:v>
                </c:pt>
                <c:pt idx="40">
                  <c:v>-1</c:v>
                </c:pt>
              </c:numCache>
            </c:numRef>
          </c:xVal>
          <c:yVal>
            <c:numRef>
              <c:f>'Отделение корней'!$C$4:$C$44</c:f>
              <c:numCache>
                <c:formatCode>General</c:formatCode>
                <c:ptCount val="41"/>
                <c:pt idx="0">
                  <c:v>-2.98563529824258</c:v>
                </c:pt>
                <c:pt idx="1">
                  <c:v>-2.28693534901577</c:v>
                </c:pt>
                <c:pt idx="2">
                  <c:v>-1.59499308738824</c:v>
                </c:pt>
                <c:pt idx="3">
                  <c:v>-0.916995954798639</c:v>
                </c:pt>
                <c:pt idx="4">
                  <c:v>-0.259793322228649</c:v>
                </c:pt>
                <c:pt idx="5">
                  <c:v>0.370172696300057</c:v>
                </c:pt>
                <c:pt idx="6">
                  <c:v>0.966930367861873</c:v>
                </c:pt>
                <c:pt idx="7">
                  <c:v>1.52503478410383</c:v>
                </c:pt>
                <c:pt idx="8">
                  <c:v>2.03961709231232</c:v>
                </c:pt>
                <c:pt idx="9">
                  <c:v>2.50642607385293</c:v>
                </c:pt>
                <c:pt idx="10">
                  <c:v>2.92186172518166</c:v>
                </c:pt>
                <c:pt idx="11">
                  <c:v>3.28300059478082</c:v>
                </c:pt>
                <c:pt idx="12">
                  <c:v>3.58761272910361</c:v>
                </c:pt>
                <c:pt idx="13">
                  <c:v>3.83417018074932</c:v>
                </c:pt>
                <c:pt idx="14">
                  <c:v>4.02184713147122</c:v>
                </c:pt>
                <c:pt idx="15">
                  <c:v>4.15051178009938</c:v>
                </c:pt>
                <c:pt idx="16">
                  <c:v>4.22071023992909</c:v>
                </c:pt>
                <c:pt idx="17">
                  <c:v>4.23364278051698</c:v>
                </c:pt>
                <c:pt idx="18">
                  <c:v>4.19113283413272</c:v>
                </c:pt>
                <c:pt idx="19">
                  <c:v>4.09558926639373</c:v>
                </c:pt>
                <c:pt idx="20">
                  <c:v>3.94996248300223</c:v>
                </c:pt>
                <c:pt idx="21">
                  <c:v>3.757695009233</c:v>
                </c:pt>
                <c:pt idx="22">
                  <c:v>3.52266723520956</c:v>
                </c:pt>
                <c:pt idx="23">
                  <c:v>3.2491390674802</c:v>
                </c:pt>
                <c:pt idx="24">
                  <c:v>2.94168826549716</c:v>
                </c:pt>
                <c:pt idx="25">
                  <c:v>2.60514626996121</c:v>
                </c:pt>
                <c:pt idx="26">
                  <c:v>2.24453234838149</c:v>
                </c:pt>
                <c:pt idx="27">
                  <c:v>1.86498689150325</c:v>
                </c:pt>
                <c:pt idx="28">
                  <c:v>1.47170469247246</c:v>
                </c:pt>
                <c:pt idx="29">
                  <c:v>1.06986902885942</c:v>
                </c:pt>
                <c:pt idx="30">
                  <c:v>0.664587346188577</c:v>
                </c:pt>
                <c:pt idx="31">
                  <c:v>0.26082931076767</c:v>
                </c:pt>
                <c:pt idx="32">
                  <c:v>-0.136632040166263</c:v>
                </c:pt>
                <c:pt idx="33">
                  <c:v>-0.523275371106553</c:v>
                </c:pt>
                <c:pt idx="34">
                  <c:v>-0.894881719715355</c:v>
                </c:pt>
                <c:pt idx="35">
                  <c:v>-1.24758020583696</c:v>
                </c:pt>
                <c:pt idx="36">
                  <c:v>-1.57788828586082</c:v>
                </c:pt>
                <c:pt idx="37">
                  <c:v>-1.88274613446114</c:v>
                </c:pt>
                <c:pt idx="38">
                  <c:v>-2.15954481432535</c:v>
                </c:pt>
                <c:pt idx="39">
                  <c:v>-2.40614797641929</c:v>
                </c:pt>
                <c:pt idx="40">
                  <c:v>-2.62090691760442</c:v>
                </c:pt>
              </c:numCache>
            </c:numRef>
          </c:yVal>
          <c:smooth val="1"/>
        </c:ser>
        <c:axId val="66261644"/>
        <c:axId val="89734877"/>
      </c:scatterChart>
      <c:valAx>
        <c:axId val="662616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9734877"/>
        <c:crosses val="autoZero"/>
        <c:crossBetween val="midCat"/>
      </c:valAx>
      <c:valAx>
        <c:axId val="897348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26164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'Отделение корней'!$L$3</c:f>
              <c:strCache>
                <c:ptCount val="1"/>
                <c:pt idx="0">
                  <c:v>f2(x)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'Отделение корней'!$J$4:$J$44</c:f>
              <c:numCache>
                <c:formatCode>General</c:formatCode>
                <c:ptCount val="41"/>
                <c:pt idx="0">
                  <c:v>-5</c:v>
                </c:pt>
                <c:pt idx="1">
                  <c:v>-4.9</c:v>
                </c:pt>
                <c:pt idx="2">
                  <c:v>-4.8</c:v>
                </c:pt>
                <c:pt idx="3">
                  <c:v>-4.7</c:v>
                </c:pt>
                <c:pt idx="4">
                  <c:v>-4.6</c:v>
                </c:pt>
                <c:pt idx="5">
                  <c:v>-4.5</c:v>
                </c:pt>
                <c:pt idx="6">
                  <c:v>-4.4</c:v>
                </c:pt>
                <c:pt idx="7">
                  <c:v>-4.3</c:v>
                </c:pt>
                <c:pt idx="8">
                  <c:v>-4.2</c:v>
                </c:pt>
                <c:pt idx="9">
                  <c:v>-4.1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-2.3</c:v>
                </c:pt>
                <c:pt idx="28">
                  <c:v>-2.2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</c:v>
                </c:pt>
                <c:pt idx="40">
                  <c:v>-1</c:v>
                </c:pt>
              </c:numCache>
            </c:numRef>
          </c:xVal>
          <c:yVal>
            <c:numRef>
              <c:f>'Отделение корней'!$L$4:$L$44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'Отделение корней'!$K$3</c:f>
              <c:strCache>
                <c:ptCount val="1"/>
                <c:pt idx="0">
                  <c:v>f1(x)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'Отделение корней'!$J$4:$J$44</c:f>
              <c:numCache>
                <c:formatCode>General</c:formatCode>
                <c:ptCount val="41"/>
                <c:pt idx="0">
                  <c:v>-5</c:v>
                </c:pt>
                <c:pt idx="1">
                  <c:v>-4.9</c:v>
                </c:pt>
                <c:pt idx="2">
                  <c:v>-4.8</c:v>
                </c:pt>
                <c:pt idx="3">
                  <c:v>-4.7</c:v>
                </c:pt>
                <c:pt idx="4">
                  <c:v>-4.6</c:v>
                </c:pt>
                <c:pt idx="5">
                  <c:v>-4.5</c:v>
                </c:pt>
                <c:pt idx="6">
                  <c:v>-4.4</c:v>
                </c:pt>
                <c:pt idx="7">
                  <c:v>-4.3</c:v>
                </c:pt>
                <c:pt idx="8">
                  <c:v>-4.2</c:v>
                </c:pt>
                <c:pt idx="9">
                  <c:v>-4.1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-2.3</c:v>
                </c:pt>
                <c:pt idx="28">
                  <c:v>-2.2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</c:v>
                </c:pt>
                <c:pt idx="40">
                  <c:v>-1</c:v>
                </c:pt>
              </c:numCache>
            </c:numRef>
          </c:xVal>
          <c:yVal>
            <c:numRef>
              <c:f>'Отделение корней'!$K$4:$K$44</c:f>
              <c:numCache>
                <c:formatCode>General</c:formatCode>
                <c:ptCount val="41"/>
                <c:pt idx="0">
                  <c:v>-1.98563529824258</c:v>
                </c:pt>
                <c:pt idx="1">
                  <c:v>-1.28693534901577</c:v>
                </c:pt>
                <c:pt idx="2">
                  <c:v>-0.594993087388241</c:v>
                </c:pt>
                <c:pt idx="3">
                  <c:v>0.0830040452013608</c:v>
                </c:pt>
                <c:pt idx="4">
                  <c:v>0.740206677771351</c:v>
                </c:pt>
                <c:pt idx="5">
                  <c:v>1.37017269630006</c:v>
                </c:pt>
                <c:pt idx="6">
                  <c:v>1.96693036786187</c:v>
                </c:pt>
                <c:pt idx="7">
                  <c:v>2.52503478410383</c:v>
                </c:pt>
                <c:pt idx="8">
                  <c:v>3.03961709231232</c:v>
                </c:pt>
                <c:pt idx="9">
                  <c:v>3.50642607385293</c:v>
                </c:pt>
                <c:pt idx="10">
                  <c:v>3.92186172518166</c:v>
                </c:pt>
                <c:pt idx="11">
                  <c:v>4.28300059478082</c:v>
                </c:pt>
                <c:pt idx="12">
                  <c:v>4.58761272910361</c:v>
                </c:pt>
                <c:pt idx="13">
                  <c:v>4.83417018074932</c:v>
                </c:pt>
                <c:pt idx="14">
                  <c:v>5.02184713147122</c:v>
                </c:pt>
                <c:pt idx="15">
                  <c:v>5.15051178009938</c:v>
                </c:pt>
                <c:pt idx="16">
                  <c:v>5.22071023992909</c:v>
                </c:pt>
                <c:pt idx="17">
                  <c:v>5.23364278051698</c:v>
                </c:pt>
                <c:pt idx="18">
                  <c:v>5.19113283413272</c:v>
                </c:pt>
                <c:pt idx="19">
                  <c:v>5.09558926639373</c:v>
                </c:pt>
                <c:pt idx="20">
                  <c:v>4.94996248300223</c:v>
                </c:pt>
                <c:pt idx="21">
                  <c:v>4.757695009233</c:v>
                </c:pt>
                <c:pt idx="22">
                  <c:v>4.52266723520957</c:v>
                </c:pt>
                <c:pt idx="23">
                  <c:v>4.2491390674802</c:v>
                </c:pt>
                <c:pt idx="24">
                  <c:v>3.94168826549716</c:v>
                </c:pt>
                <c:pt idx="25">
                  <c:v>3.60514626996121</c:v>
                </c:pt>
                <c:pt idx="26">
                  <c:v>3.24453234838149</c:v>
                </c:pt>
                <c:pt idx="27">
                  <c:v>2.86498689150325</c:v>
                </c:pt>
                <c:pt idx="28">
                  <c:v>2.47170469247246</c:v>
                </c:pt>
                <c:pt idx="29">
                  <c:v>2.06986902885942</c:v>
                </c:pt>
                <c:pt idx="30">
                  <c:v>1.66458734618858</c:v>
                </c:pt>
                <c:pt idx="31">
                  <c:v>1.26082931076767</c:v>
                </c:pt>
                <c:pt idx="32">
                  <c:v>0.863367959833737</c:v>
                </c:pt>
                <c:pt idx="33">
                  <c:v>0.476724628893447</c:v>
                </c:pt>
                <c:pt idx="34">
                  <c:v>0.105118280284645</c:v>
                </c:pt>
                <c:pt idx="35">
                  <c:v>-0.247580205836956</c:v>
                </c:pt>
                <c:pt idx="36">
                  <c:v>-0.577888285860815</c:v>
                </c:pt>
                <c:pt idx="37">
                  <c:v>-0.882746134461135</c:v>
                </c:pt>
                <c:pt idx="38">
                  <c:v>-1.15954481432535</c:v>
                </c:pt>
                <c:pt idx="39">
                  <c:v>-1.40614797641929</c:v>
                </c:pt>
                <c:pt idx="40">
                  <c:v>-1.62090691760442</c:v>
                </c:pt>
              </c:numCache>
            </c:numRef>
          </c:yVal>
          <c:smooth val="1"/>
        </c:ser>
        <c:axId val="24858754"/>
        <c:axId val="77337753"/>
      </c:scatterChart>
      <c:valAx>
        <c:axId val="248587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337753"/>
        <c:crosses val="autoZero"/>
        <c:crossBetween val="midCat"/>
      </c:valAx>
      <c:valAx>
        <c:axId val="773377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8587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МПИ!$D$28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МПИ!$B$29:$B$39</c:f>
              <c:numCache>
                <c:formatCode>General</c:formatCode>
                <c:ptCount val="11"/>
                <c:pt idx="0">
                  <c:v>-4.6</c:v>
                </c:pt>
                <c:pt idx="1">
                  <c:v>-4.59</c:v>
                </c:pt>
                <c:pt idx="2">
                  <c:v>-4.58</c:v>
                </c:pt>
                <c:pt idx="3">
                  <c:v>-4.57</c:v>
                </c:pt>
                <c:pt idx="4">
                  <c:v>-4.56</c:v>
                </c:pt>
                <c:pt idx="5">
                  <c:v>-4.55</c:v>
                </c:pt>
                <c:pt idx="6">
                  <c:v>-4.54</c:v>
                </c:pt>
                <c:pt idx="7">
                  <c:v>-4.53</c:v>
                </c:pt>
                <c:pt idx="8">
                  <c:v>-4.52</c:v>
                </c:pt>
                <c:pt idx="9">
                  <c:v>-4.51</c:v>
                </c:pt>
                <c:pt idx="10">
                  <c:v>-4.5</c:v>
                </c:pt>
              </c:numCache>
            </c:numRef>
          </c:xVal>
          <c:yVal>
            <c:numRef>
              <c:f>МПИ!$D$29:$D$39</c:f>
              <c:numCache>
                <c:formatCode>General</c:formatCode>
                <c:ptCount val="11"/>
                <c:pt idx="0">
                  <c:v>-4.55969827248554</c:v>
                </c:pt>
                <c:pt idx="1">
                  <c:v>-4.55967695538773</c:v>
                </c:pt>
                <c:pt idx="2">
                  <c:v>-4.55961236430403</c:v>
                </c:pt>
                <c:pt idx="3">
                  <c:v>-4.5595035451179</c:v>
                </c:pt>
                <c:pt idx="4">
                  <c:v>-4.55934955121093</c:v>
                </c:pt>
                <c:pt idx="5">
                  <c:v>-4.55914944355328</c:v>
                </c:pt>
                <c:pt idx="6">
                  <c:v>-4.55890229079301</c:v>
                </c:pt>
                <c:pt idx="7">
                  <c:v>-4.55860716934434</c:v>
                </c:pt>
                <c:pt idx="8">
                  <c:v>-4.55826316347488</c:v>
                </c:pt>
                <c:pt idx="9">
                  <c:v>-4.55786936539168</c:v>
                </c:pt>
                <c:pt idx="10">
                  <c:v>-4.55742487532627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МПИ!$B$28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МПИ!$B$29:$B$39</c:f>
              <c:numCache>
                <c:formatCode>General</c:formatCode>
                <c:ptCount val="11"/>
                <c:pt idx="0">
                  <c:v>-4.6</c:v>
                </c:pt>
                <c:pt idx="1">
                  <c:v>-4.59</c:v>
                </c:pt>
                <c:pt idx="2">
                  <c:v>-4.58</c:v>
                </c:pt>
                <c:pt idx="3">
                  <c:v>-4.57</c:v>
                </c:pt>
                <c:pt idx="4">
                  <c:v>-4.56</c:v>
                </c:pt>
                <c:pt idx="5">
                  <c:v>-4.55</c:v>
                </c:pt>
                <c:pt idx="6">
                  <c:v>-4.54</c:v>
                </c:pt>
                <c:pt idx="7">
                  <c:v>-4.53</c:v>
                </c:pt>
                <c:pt idx="8">
                  <c:v>-4.52</c:v>
                </c:pt>
                <c:pt idx="9">
                  <c:v>-4.51</c:v>
                </c:pt>
                <c:pt idx="10">
                  <c:v>-4.5</c:v>
                </c:pt>
              </c:numCache>
            </c:numRef>
          </c:xVal>
          <c:yVal>
            <c:numRef>
              <c:f>МПИ!$B$29:$B$39</c:f>
              <c:numCache>
                <c:formatCode>General</c:formatCode>
                <c:ptCount val="11"/>
                <c:pt idx="0">
                  <c:v>-4.6</c:v>
                </c:pt>
                <c:pt idx="1">
                  <c:v>-4.59</c:v>
                </c:pt>
                <c:pt idx="2">
                  <c:v>-4.58</c:v>
                </c:pt>
                <c:pt idx="3">
                  <c:v>-4.57</c:v>
                </c:pt>
                <c:pt idx="4">
                  <c:v>-4.56</c:v>
                </c:pt>
                <c:pt idx="5">
                  <c:v>-4.55</c:v>
                </c:pt>
                <c:pt idx="6">
                  <c:v>-4.54</c:v>
                </c:pt>
                <c:pt idx="7">
                  <c:v>-4.53</c:v>
                </c:pt>
                <c:pt idx="8">
                  <c:v>-4.52</c:v>
                </c:pt>
                <c:pt idx="9">
                  <c:v>-4.51</c:v>
                </c:pt>
                <c:pt idx="10">
                  <c:v>-4.5</c:v>
                </c:pt>
              </c:numCache>
            </c:numRef>
          </c:yVal>
          <c:smooth val="1"/>
        </c:ser>
        <c:axId val="36443112"/>
        <c:axId val="73445920"/>
      </c:scatterChart>
      <c:valAx>
        <c:axId val="36443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445920"/>
        <c:crosses val="autoZero"/>
        <c:crossBetween val="between"/>
      </c:valAx>
      <c:valAx>
        <c:axId val="734459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44311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МПИ!$C$28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МПИ!$B$29:$B$39</c:f>
              <c:numCache>
                <c:formatCode>General</c:formatCode>
                <c:ptCount val="11"/>
                <c:pt idx="0">
                  <c:v>-4.6</c:v>
                </c:pt>
                <c:pt idx="1">
                  <c:v>-4.59</c:v>
                </c:pt>
                <c:pt idx="2">
                  <c:v>-4.58</c:v>
                </c:pt>
                <c:pt idx="3">
                  <c:v>-4.57</c:v>
                </c:pt>
                <c:pt idx="4">
                  <c:v>-4.56</c:v>
                </c:pt>
                <c:pt idx="5">
                  <c:v>-4.55</c:v>
                </c:pt>
                <c:pt idx="6">
                  <c:v>-4.54</c:v>
                </c:pt>
                <c:pt idx="7">
                  <c:v>-4.53</c:v>
                </c:pt>
                <c:pt idx="8">
                  <c:v>-4.52</c:v>
                </c:pt>
                <c:pt idx="9">
                  <c:v>-4.51</c:v>
                </c:pt>
                <c:pt idx="10">
                  <c:v>-4.5</c:v>
                </c:pt>
              </c:numCache>
            </c:numRef>
          </c:xVal>
          <c:yVal>
            <c:numRef>
              <c:f>МПИ!$C$29:$C$39</c:f>
              <c:numCache>
                <c:formatCode>General</c:formatCode>
                <c:ptCount val="11"/>
                <c:pt idx="0">
                  <c:v>-0.259793322228638</c:v>
                </c:pt>
                <c:pt idx="1">
                  <c:v>-0.195468655706714</c:v>
                </c:pt>
                <c:pt idx="2">
                  <c:v>-0.13142294230298</c:v>
                </c:pt>
                <c:pt idx="3">
                  <c:v>-0.0676623324512602</c:v>
                </c:pt>
                <c:pt idx="4">
                  <c:v>-0.00419292825078754</c:v>
                </c:pt>
                <c:pt idx="5">
                  <c:v>0.0589792171166466</c:v>
                </c:pt>
                <c:pt idx="6">
                  <c:v>0.121848099962611</c:v>
                </c:pt>
                <c:pt idx="7">
                  <c:v>0.184407766661064</c:v>
                </c:pt>
                <c:pt idx="8">
                  <c:v>0.246652314210366</c:v>
                </c:pt>
                <c:pt idx="9">
                  <c:v>0.308575890788321</c:v>
                </c:pt>
                <c:pt idx="10">
                  <c:v>0.370172696300068</c:v>
                </c:pt>
              </c:numCache>
            </c:numRef>
          </c:yVal>
          <c:smooth val="1"/>
        </c:ser>
        <c:axId val="41010189"/>
        <c:axId val="44467781"/>
      </c:scatterChart>
      <c:valAx>
        <c:axId val="410101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467781"/>
        <c:crosses val="autoZero"/>
        <c:crossBetween val="between"/>
      </c:valAx>
      <c:valAx>
        <c:axId val="444677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01018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551160</xdr:colOff>
      <xdr:row>44</xdr:row>
      <xdr:rowOff>123480</xdr:rowOff>
    </xdr:from>
    <xdr:to>
      <xdr:col>6</xdr:col>
      <xdr:colOff>2136600</xdr:colOff>
      <xdr:row>64</xdr:row>
      <xdr:rowOff>110160</xdr:rowOff>
    </xdr:to>
    <xdr:graphicFrame>
      <xdr:nvGraphicFramePr>
        <xdr:cNvPr id="0" name=""/>
        <xdr:cNvGraphicFramePr/>
      </xdr:nvGraphicFramePr>
      <xdr:xfrm>
        <a:off x="551160" y="7302600"/>
        <a:ext cx="575928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521280</xdr:colOff>
      <xdr:row>26</xdr:row>
      <xdr:rowOff>142200</xdr:rowOff>
    </xdr:from>
    <xdr:to>
      <xdr:col>17</xdr:col>
      <xdr:colOff>169560</xdr:colOff>
      <xdr:row>46</xdr:row>
      <xdr:rowOff>133920</xdr:rowOff>
    </xdr:to>
    <xdr:graphicFrame>
      <xdr:nvGraphicFramePr>
        <xdr:cNvPr id="1" name=""/>
        <xdr:cNvGraphicFramePr/>
      </xdr:nvGraphicFramePr>
      <xdr:xfrm>
        <a:off x="11882520" y="4395240"/>
        <a:ext cx="5767920" cy="32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56880</xdr:colOff>
      <xdr:row>5</xdr:row>
      <xdr:rowOff>139320</xdr:rowOff>
    </xdr:from>
    <xdr:to>
      <xdr:col>15</xdr:col>
      <xdr:colOff>2878200</xdr:colOff>
      <xdr:row>6</xdr:row>
      <xdr:rowOff>128880</xdr:rowOff>
    </xdr:to>
    <xdr:sp>
      <xdr:nvSpPr>
        <xdr:cNvPr id="2" name="TextBox 1"/>
        <xdr:cNvSpPr/>
      </xdr:nvSpPr>
      <xdr:spPr>
        <a:xfrm>
          <a:off x="10436400" y="979920"/>
          <a:ext cx="2821320" cy="15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𝑥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2=𝑥0−𝐹(𝑥0)∗(</a:t>
          </a:r>
          <a:r>
            <a:rPr b="0" lang="en-US" sz="1100" spc="-1" strike="noStrike">
              <a:solidFill>
                <a:srgbClr val="000000"/>
              </a:solidFill>
              <a:latin typeface="Calibri"/>
            </a:rPr>
            <a:t>𝑥1−𝑥0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"</a:t>
          </a:r>
          <a:r>
            <a:rPr b="0" lang="ru-RU" sz="1200" spc="-1" strike="noStrike">
              <a:solidFill>
                <a:srgbClr val="000000"/>
              </a:solidFill>
              <a:latin typeface="Calibri"/>
            </a:rPr>
            <a:t> 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" )/█(𝐹(𝑥1)−𝐹(𝑥0)@)</a:t>
          </a:r>
          <a:endParaRPr b="0" lang="ru-RU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808920</xdr:colOff>
      <xdr:row>24</xdr:row>
      <xdr:rowOff>154800</xdr:rowOff>
    </xdr:from>
    <xdr:to>
      <xdr:col>9</xdr:col>
      <xdr:colOff>3348360</xdr:colOff>
      <xdr:row>44</xdr:row>
      <xdr:rowOff>154800</xdr:rowOff>
    </xdr:to>
    <xdr:graphicFrame>
      <xdr:nvGraphicFramePr>
        <xdr:cNvPr id="3" name=""/>
        <xdr:cNvGraphicFramePr/>
      </xdr:nvGraphicFramePr>
      <xdr:xfrm>
        <a:off x="4028040" y="4069440"/>
        <a:ext cx="575604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3509280</xdr:colOff>
      <xdr:row>25</xdr:row>
      <xdr:rowOff>35280</xdr:rowOff>
    </xdr:from>
    <xdr:to>
      <xdr:col>14</xdr:col>
      <xdr:colOff>384480</xdr:colOff>
      <xdr:row>45</xdr:row>
      <xdr:rowOff>35280</xdr:rowOff>
    </xdr:to>
    <xdr:graphicFrame>
      <xdr:nvGraphicFramePr>
        <xdr:cNvPr id="4" name=""/>
        <xdr:cNvGraphicFramePr/>
      </xdr:nvGraphicFramePr>
      <xdr:xfrm>
        <a:off x="9945000" y="4111920"/>
        <a:ext cx="575604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4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9" activeCellId="0" sqref="C9"/>
    </sheetView>
  </sheetViews>
  <sheetFormatPr defaultColWidth="8.58984375" defaultRowHeight="12.75" zeroHeight="false" outlineLevelRow="0" outlineLevelCol="0"/>
  <cols>
    <col collapsed="false" customWidth="true" hidden="false" outlineLevel="0" max="1" min="1" style="0" width="11.28"/>
    <col collapsed="false" customWidth="true" hidden="false" outlineLevel="0" max="4" min="4" style="0" width="13.57"/>
    <col collapsed="false" customWidth="true" hidden="false" outlineLevel="0" max="7" min="7" style="0" width="57.57"/>
    <col collapsed="false" customWidth="true" hidden="false" outlineLevel="0" max="8" min="8" style="0" width="4.14"/>
    <col collapsed="false" customWidth="true" hidden="false" outlineLevel="0" max="9" min="9" style="0" width="11.14"/>
    <col collapsed="false" customWidth="true" hidden="false" outlineLevel="0" max="10" min="10" style="0" width="11.86"/>
    <col collapsed="false" customWidth="true" hidden="false" outlineLevel="0" max="15" min="15" style="0" width="52.42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G1" s="2" t="s">
        <v>1</v>
      </c>
    </row>
    <row r="2" customFormat="false" ht="12.75" hidden="false" customHeight="false" outlineLevel="0" collapsed="false">
      <c r="G2" s="0" t="s">
        <v>2</v>
      </c>
      <c r="O2" s="0" t="s">
        <v>3</v>
      </c>
    </row>
    <row r="3" customFormat="false" ht="12.75" hidden="false" customHeight="false" outlineLevel="0" collapsed="false">
      <c r="B3" s="3" t="s">
        <v>4</v>
      </c>
      <c r="C3" s="4" t="s">
        <v>5</v>
      </c>
      <c r="D3" s="5" t="s">
        <v>6</v>
      </c>
      <c r="E3" s="4" t="s">
        <v>7</v>
      </c>
      <c r="G3" s="6" t="s">
        <v>8</v>
      </c>
      <c r="J3" s="3" t="s">
        <v>4</v>
      </c>
      <c r="K3" s="4" t="s">
        <v>9</v>
      </c>
      <c r="L3" s="4" t="s">
        <v>10</v>
      </c>
      <c r="M3" s="4" t="s">
        <v>7</v>
      </c>
      <c r="O3" s="6" t="s">
        <v>8</v>
      </c>
    </row>
    <row r="4" customFormat="false" ht="12.8" hidden="false" customHeight="false" outlineLevel="0" collapsed="false">
      <c r="A4" s="0" t="n">
        <v>-5</v>
      </c>
      <c r="B4" s="7" t="n">
        <v>-5</v>
      </c>
      <c r="C4" s="7" t="n">
        <f aca="false">(B4-2)*COS(B4)-1</f>
        <v>-2.98563529824258</v>
      </c>
      <c r="D4" s="7"/>
      <c r="E4" s="8" t="n">
        <f aca="false">0.1</f>
        <v>0.1</v>
      </c>
      <c r="G4" s="9" t="s">
        <v>11</v>
      </c>
      <c r="J4" s="7" t="n">
        <v>-5</v>
      </c>
      <c r="K4" s="0" t="n">
        <f aca="false">(J4-2)*COS(J4)</f>
        <v>-1.98563529824258</v>
      </c>
      <c r="L4" s="0" t="n">
        <f aca="false">1</f>
        <v>1</v>
      </c>
      <c r="M4" s="8" t="n">
        <f aca="false">0.1</f>
        <v>0.1</v>
      </c>
      <c r="O4" s="9" t="s">
        <v>11</v>
      </c>
    </row>
    <row r="5" customFormat="false" ht="12.8" hidden="false" customHeight="false" outlineLevel="0" collapsed="false">
      <c r="A5" s="0" t="n">
        <v>-1</v>
      </c>
      <c r="B5" s="7" t="n">
        <f aca="false">B4+$E$4</f>
        <v>-4.9</v>
      </c>
      <c r="C5" s="7" t="n">
        <f aca="false">(B5-2)*COS(B5)-1</f>
        <v>-2.28693534901577</v>
      </c>
      <c r="D5" s="7" t="str">
        <f aca="false">IF(C5*C4&lt;0,"+++++++++++++++++++++++++++++++++++++++++++++","")</f>
        <v/>
      </c>
      <c r="G5" s="9" t="s">
        <v>12</v>
      </c>
      <c r="H5" s="5" t="s">
        <v>13</v>
      </c>
      <c r="I5" s="10" t="n">
        <v>-5</v>
      </c>
      <c r="J5" s="7" t="n">
        <f aca="false">J4+$M$4</f>
        <v>-4.9</v>
      </c>
      <c r="K5" s="0" t="n">
        <f aca="false">(J5-2)*COS(J5)</f>
        <v>-1.28693534901577</v>
      </c>
      <c r="L5" s="0" t="n">
        <f aca="false">1</f>
        <v>1</v>
      </c>
      <c r="O5" s="9" t="s">
        <v>14</v>
      </c>
    </row>
    <row r="6" customFormat="false" ht="12.8" hidden="false" customHeight="false" outlineLevel="0" collapsed="false">
      <c r="A6" s="0" t="s">
        <v>15</v>
      </c>
      <c r="B6" s="7" t="n">
        <f aca="false">B5+$E$4</f>
        <v>-4.8</v>
      </c>
      <c r="C6" s="7" t="n">
        <f aca="false">(B6-2)*COS(B6)-1</f>
        <v>-1.59499308738824</v>
      </c>
      <c r="D6" s="7" t="str">
        <f aca="false">IF(C6*C5&lt;0,"+++++++++++++++++++++++++++++++++++++++++++++","")</f>
        <v/>
      </c>
      <c r="G6" s="9" t="s">
        <v>16</v>
      </c>
      <c r="H6" s="5" t="s">
        <v>17</v>
      </c>
      <c r="I6" s="10" t="n">
        <v>-1</v>
      </c>
      <c r="J6" s="7" t="n">
        <f aca="false">J5+$M$4</f>
        <v>-4.8</v>
      </c>
      <c r="K6" s="0" t="n">
        <f aca="false">(J6-2)*COS(J6)</f>
        <v>-0.594993087388241</v>
      </c>
      <c r="L6" s="0" t="n">
        <f aca="false">1</f>
        <v>1</v>
      </c>
      <c r="O6" s="9" t="s">
        <v>18</v>
      </c>
    </row>
    <row r="7" customFormat="false" ht="12.8" hidden="false" customHeight="false" outlineLevel="0" collapsed="false">
      <c r="B7" s="7" t="n">
        <f aca="false">B6+$E$4</f>
        <v>-4.7</v>
      </c>
      <c r="C7" s="7" t="n">
        <f aca="false">(B7-2)*COS(B7)-1</f>
        <v>-0.916995954798639</v>
      </c>
      <c r="D7" s="7" t="str">
        <f aca="false">IF(C7*C6&lt;0,"+++++++++++++++++++++++++++++++++++++++++++++","")</f>
        <v/>
      </c>
      <c r="G7" s="9" t="s">
        <v>19</v>
      </c>
      <c r="J7" s="7" t="n">
        <f aca="false">J6+$M$4</f>
        <v>-4.7</v>
      </c>
      <c r="K7" s="0" t="n">
        <f aca="false">(J7-2)*COS(J7)</f>
        <v>0.0830040452013608</v>
      </c>
      <c r="L7" s="0" t="n">
        <f aca="false">1</f>
        <v>1</v>
      </c>
      <c r="O7" s="9" t="s">
        <v>19</v>
      </c>
    </row>
    <row r="8" customFormat="false" ht="12.8" hidden="false" customHeight="false" outlineLevel="0" collapsed="false">
      <c r="B8" s="11" t="n">
        <f aca="false">B7+$E$4</f>
        <v>-4.6</v>
      </c>
      <c r="C8" s="11" t="n">
        <f aca="false">(B8-2)*COS(B8)-1</f>
        <v>-0.259793322228649</v>
      </c>
      <c r="D8" s="7" t="str">
        <f aca="false">IF(C8*C7&lt;0,"+++++++++++++++++++++++++++++++++++++++++++++","")</f>
        <v/>
      </c>
      <c r="G8" s="9" t="s">
        <v>20</v>
      </c>
      <c r="J8" s="7" t="n">
        <f aca="false">J7+$M$4</f>
        <v>-4.6</v>
      </c>
      <c r="K8" s="0" t="n">
        <f aca="false">(J8-2)*COS(J8)</f>
        <v>0.740206677771351</v>
      </c>
      <c r="L8" s="0" t="n">
        <f aca="false">1</f>
        <v>1</v>
      </c>
      <c r="O8" s="9" t="s">
        <v>20</v>
      </c>
    </row>
    <row r="9" customFormat="false" ht="12.8" hidden="false" customHeight="false" outlineLevel="0" collapsed="false">
      <c r="B9" s="11" t="n">
        <f aca="false">B8+$E$4</f>
        <v>-4.5</v>
      </c>
      <c r="C9" s="11" t="n">
        <f aca="false">(B9-2)*COS(B9)-1</f>
        <v>0.370172696300057</v>
      </c>
      <c r="D9" s="7" t="str">
        <f aca="false">IF(C9*C8&lt;0,"+++++++++++++++++++++++++++++++++++++++++++++","")</f>
        <v>+++++++++++++++++++++++++++++++++++++++++++++</v>
      </c>
      <c r="G9" s="9" t="s">
        <v>21</v>
      </c>
      <c r="J9" s="7" t="n">
        <f aca="false">J8+$M$4</f>
        <v>-4.5</v>
      </c>
      <c r="K9" s="0" t="n">
        <f aca="false">(J9-2)*COS(J9)</f>
        <v>1.37017269630006</v>
      </c>
      <c r="L9" s="0" t="n">
        <f aca="false">1</f>
        <v>1</v>
      </c>
      <c r="O9" s="9" t="s">
        <v>22</v>
      </c>
    </row>
    <row r="10" customFormat="false" ht="12.8" hidden="false" customHeight="false" outlineLevel="0" collapsed="false">
      <c r="B10" s="7" t="n">
        <f aca="false">B9+$E$4</f>
        <v>-4.4</v>
      </c>
      <c r="C10" s="7" t="n">
        <f aca="false">(B10-2)*COS(B10)-1</f>
        <v>0.966930367861873</v>
      </c>
      <c r="D10" s="7" t="str">
        <f aca="false">IF(C10*C9&lt;0,"+++++++++++++++++++++++++++++++++++++++++++++","")</f>
        <v/>
      </c>
      <c r="G10" s="9" t="s">
        <v>23</v>
      </c>
      <c r="J10" s="7" t="n">
        <f aca="false">J9+$M$4</f>
        <v>-4.4</v>
      </c>
      <c r="K10" s="0" t="n">
        <f aca="false">(J10-2)*COS(J10)</f>
        <v>1.96693036786187</v>
      </c>
      <c r="L10" s="0" t="n">
        <f aca="false">1</f>
        <v>1</v>
      </c>
      <c r="O10" s="9" t="s">
        <v>24</v>
      </c>
    </row>
    <row r="11" customFormat="false" ht="12.8" hidden="false" customHeight="false" outlineLevel="0" collapsed="false">
      <c r="B11" s="7" t="n">
        <f aca="false">B10+$E$4</f>
        <v>-4.3</v>
      </c>
      <c r="C11" s="7" t="n">
        <f aca="false">(B11-2)*COS(B11)-1</f>
        <v>1.52503478410383</v>
      </c>
      <c r="D11" s="7" t="str">
        <f aca="false">IF(C11*C10&lt;0,"+++++++++++++++++++++++++++++++++++++++++++++","")</f>
        <v/>
      </c>
      <c r="G11" s="9" t="s">
        <v>22</v>
      </c>
      <c r="J11" s="7" t="n">
        <f aca="false">J10+$M$4</f>
        <v>-4.3</v>
      </c>
      <c r="K11" s="0" t="n">
        <f aca="false">(J11-2)*COS(J11)</f>
        <v>2.52503478410383</v>
      </c>
      <c r="L11" s="0" t="n">
        <f aca="false">1</f>
        <v>1</v>
      </c>
      <c r="O11" s="9" t="s">
        <v>25</v>
      </c>
    </row>
    <row r="12" customFormat="false" ht="12.8" hidden="false" customHeight="false" outlineLevel="0" collapsed="false">
      <c r="B12" s="7" t="n">
        <f aca="false">B11+$E$4</f>
        <v>-4.2</v>
      </c>
      <c r="C12" s="7" t="n">
        <f aca="false">(B12-2)*COS(B12)-1</f>
        <v>2.03961709231232</v>
      </c>
      <c r="D12" s="7" t="str">
        <f aca="false">IF(C12*C11&lt;0,"+++++++++++++++++++++++++++++++++++++++++++++","")</f>
        <v/>
      </c>
      <c r="G12" s="9" t="s">
        <v>26</v>
      </c>
      <c r="I12" s="12"/>
      <c r="J12" s="7" t="n">
        <f aca="false">J11+$M$4</f>
        <v>-4.2</v>
      </c>
      <c r="K12" s="0" t="n">
        <f aca="false">(J12-2)*COS(J12)</f>
        <v>3.03961709231232</v>
      </c>
      <c r="L12" s="0" t="n">
        <f aca="false">1</f>
        <v>1</v>
      </c>
      <c r="O12" s="9" t="s">
        <v>27</v>
      </c>
    </row>
    <row r="13" customFormat="false" ht="12.8" hidden="false" customHeight="false" outlineLevel="0" collapsed="false">
      <c r="B13" s="7" t="n">
        <f aca="false">B12+$E$4</f>
        <v>-4.1</v>
      </c>
      <c r="C13" s="7" t="n">
        <f aca="false">(B13-2)*COS(B13)-1</f>
        <v>2.50642607385293</v>
      </c>
      <c r="D13" s="7" t="str">
        <f aca="false">IF(C13*C12&lt;0,"+++++++++++++++++++++++++++++++++++++++++++++","")</f>
        <v/>
      </c>
      <c r="G13" s="9" t="s">
        <v>28</v>
      </c>
      <c r="I13" s="12"/>
      <c r="J13" s="7" t="n">
        <f aca="false">J12+$M$4</f>
        <v>-4.1</v>
      </c>
      <c r="K13" s="0" t="n">
        <f aca="false">(J13-2)*COS(J13)</f>
        <v>3.50642607385293</v>
      </c>
      <c r="L13" s="0" t="n">
        <f aca="false">1</f>
        <v>1</v>
      </c>
      <c r="O13" s="9" t="s">
        <v>29</v>
      </c>
    </row>
    <row r="14" customFormat="false" ht="12.8" hidden="false" customHeight="false" outlineLevel="0" collapsed="false">
      <c r="B14" s="7" t="n">
        <f aca="false">B13+$E$4</f>
        <v>-4</v>
      </c>
      <c r="C14" s="7" t="n">
        <f aca="false">(B14-2)*COS(B14)-1</f>
        <v>2.92186172518166</v>
      </c>
      <c r="D14" s="7" t="str">
        <f aca="false">IF(C14*C13&lt;0,"+++++++++++++++++++++++++++++++++++++++++++++","")</f>
        <v/>
      </c>
      <c r="G14" s="9" t="s">
        <v>30</v>
      </c>
      <c r="I14" s="12"/>
      <c r="J14" s="7" t="n">
        <f aca="false">J13+$M$4</f>
        <v>-4</v>
      </c>
      <c r="K14" s="0" t="n">
        <f aca="false">(J14-2)*COS(J14)</f>
        <v>3.92186172518166</v>
      </c>
      <c r="L14" s="0" t="n">
        <f aca="false">1</f>
        <v>1</v>
      </c>
      <c r="O14" s="9" t="s">
        <v>31</v>
      </c>
    </row>
    <row r="15" customFormat="false" ht="12.8" hidden="false" customHeight="false" outlineLevel="0" collapsed="false">
      <c r="B15" s="7" t="n">
        <f aca="false">B14+$E$4</f>
        <v>-3.9</v>
      </c>
      <c r="C15" s="7" t="n">
        <f aca="false">(B15-2)*COS(B15)-1</f>
        <v>3.28300059478082</v>
      </c>
      <c r="D15" s="7" t="str">
        <f aca="false">IF(C15*C14&lt;0,"+++++++++++++++++++++++++++++++++++++++++++++","")</f>
        <v/>
      </c>
      <c r="G15" s="9" t="s">
        <v>32</v>
      </c>
      <c r="J15" s="7" t="n">
        <f aca="false">J14+$M$4</f>
        <v>-3.9</v>
      </c>
      <c r="K15" s="0" t="n">
        <f aca="false">(J15-2)*COS(J15)</f>
        <v>4.28300059478082</v>
      </c>
      <c r="L15" s="0" t="n">
        <f aca="false">1</f>
        <v>1</v>
      </c>
      <c r="O15" s="9" t="s">
        <v>33</v>
      </c>
    </row>
    <row r="16" customFormat="false" ht="12.8" hidden="false" customHeight="false" outlineLevel="0" collapsed="false">
      <c r="B16" s="7" t="n">
        <f aca="false">B15+$E$4</f>
        <v>-3.8</v>
      </c>
      <c r="C16" s="7" t="n">
        <f aca="false">(B16-2)*COS(B16)-1</f>
        <v>3.58761272910361</v>
      </c>
      <c r="D16" s="7" t="str">
        <f aca="false">IF(C16*C15&lt;0,"+++++++++++++++++++++++++++++++++++++++++++++","")</f>
        <v/>
      </c>
      <c r="G16" s="9" t="s">
        <v>34</v>
      </c>
      <c r="J16" s="7" t="n">
        <f aca="false">J15+$M$4</f>
        <v>-3.8</v>
      </c>
      <c r="K16" s="0" t="n">
        <f aca="false">(J16-2)*COS(J16)</f>
        <v>4.58761272910361</v>
      </c>
      <c r="L16" s="0" t="n">
        <f aca="false">1</f>
        <v>1</v>
      </c>
      <c r="O16" s="9" t="s">
        <v>35</v>
      </c>
    </row>
    <row r="17" customFormat="false" ht="12.8" hidden="false" customHeight="false" outlineLevel="0" collapsed="false">
      <c r="B17" s="7" t="n">
        <f aca="false">B16+$E$4</f>
        <v>-3.7</v>
      </c>
      <c r="C17" s="7" t="n">
        <f aca="false">(B17-2)*COS(B17)-1</f>
        <v>3.83417018074932</v>
      </c>
      <c r="D17" s="7" t="str">
        <f aca="false">IF(C17*C16&lt;0,"+++++++++++++++++++++++++++++++++++++++++++++","")</f>
        <v/>
      </c>
      <c r="G17" s="9"/>
      <c r="J17" s="7" t="n">
        <f aca="false">J16+$M$4</f>
        <v>-3.7</v>
      </c>
      <c r="K17" s="0" t="n">
        <f aca="false">(J17-2)*COS(J17)</f>
        <v>4.83417018074932</v>
      </c>
      <c r="L17" s="0" t="n">
        <f aca="false">1</f>
        <v>1</v>
      </c>
      <c r="O17" s="9" t="s">
        <v>36</v>
      </c>
    </row>
    <row r="18" customFormat="false" ht="12.8" hidden="false" customHeight="false" outlineLevel="0" collapsed="false">
      <c r="B18" s="7" t="n">
        <f aca="false">B17+$E$4</f>
        <v>-3.6</v>
      </c>
      <c r="C18" s="7" t="n">
        <f aca="false">(B18-2)*COS(B18)-1</f>
        <v>4.02184713147122</v>
      </c>
      <c r="D18" s="7" t="str">
        <f aca="false">IF(C18*C17&lt;0,"+++++++++++++++++++++++++++++++++++++++++++++","")</f>
        <v/>
      </c>
      <c r="G18" s="9" t="s">
        <v>37</v>
      </c>
      <c r="J18" s="7" t="n">
        <f aca="false">J17+$M$4</f>
        <v>-3.6</v>
      </c>
      <c r="K18" s="0" t="n">
        <f aca="false">(J18-2)*COS(J18)</f>
        <v>5.02184713147122</v>
      </c>
      <c r="L18" s="0" t="n">
        <f aca="false">1</f>
        <v>1</v>
      </c>
      <c r="O18" s="9" t="s">
        <v>38</v>
      </c>
    </row>
    <row r="19" customFormat="false" ht="12.8" hidden="false" customHeight="false" outlineLevel="0" collapsed="false">
      <c r="B19" s="7" t="n">
        <f aca="false">B18+$E$4</f>
        <v>-3.5</v>
      </c>
      <c r="C19" s="7" t="n">
        <f aca="false">(B19-2)*COS(B19)-1</f>
        <v>4.15051178009938</v>
      </c>
      <c r="D19" s="7" t="str">
        <f aca="false">IF(C19*C18&lt;0,"+++++++++++++++++++++++++++++++++++++++++++++","")</f>
        <v/>
      </c>
      <c r="G19" s="9" t="s">
        <v>39</v>
      </c>
      <c r="J19" s="7" t="n">
        <f aca="false">J18+$M$4</f>
        <v>-3.5</v>
      </c>
      <c r="K19" s="0" t="n">
        <f aca="false">(J19-2)*COS(J19)</f>
        <v>5.15051178009938</v>
      </c>
      <c r="L19" s="0" t="n">
        <f aca="false">1</f>
        <v>1</v>
      </c>
      <c r="O19" s="9" t="s">
        <v>40</v>
      </c>
    </row>
    <row r="20" customFormat="false" ht="12.8" hidden="false" customHeight="false" outlineLevel="0" collapsed="false">
      <c r="B20" s="7" t="n">
        <f aca="false">B19+$E$4</f>
        <v>-3.4</v>
      </c>
      <c r="C20" s="7" t="n">
        <f aca="false">(B20-2)*COS(B20)-1</f>
        <v>4.22071023992909</v>
      </c>
      <c r="D20" s="7" t="str">
        <f aca="false">IF(C20*C19&lt;0,"+++++++++++++++++++++++++++++++++++++++++++++","")</f>
        <v/>
      </c>
      <c r="G20" s="9" t="s">
        <v>41</v>
      </c>
      <c r="J20" s="7" t="n">
        <f aca="false">J19+$M$4</f>
        <v>-3.4</v>
      </c>
      <c r="K20" s="0" t="n">
        <f aca="false">(J20-2)*COS(J20)</f>
        <v>5.22071023992909</v>
      </c>
      <c r="L20" s="0" t="n">
        <f aca="false">1</f>
        <v>1</v>
      </c>
      <c r="O20" s="9" t="s">
        <v>42</v>
      </c>
    </row>
    <row r="21" customFormat="false" ht="12.8" hidden="false" customHeight="false" outlineLevel="0" collapsed="false">
      <c r="B21" s="7" t="n">
        <f aca="false">B20+$E$4</f>
        <v>-3.3</v>
      </c>
      <c r="C21" s="7" t="n">
        <f aca="false">(B21-2)*COS(B21)-1</f>
        <v>4.23364278051698</v>
      </c>
      <c r="D21" s="7" t="str">
        <f aca="false">IF(C21*C20&lt;0,"+++++++++++++++++++++++++++++++++++++++++++++","")</f>
        <v/>
      </c>
      <c r="G21" s="9" t="s">
        <v>43</v>
      </c>
      <c r="J21" s="7" t="n">
        <f aca="false">J20+$M$4</f>
        <v>-3.3</v>
      </c>
      <c r="K21" s="0" t="n">
        <f aca="false">(J21-2)*COS(J21)</f>
        <v>5.23364278051698</v>
      </c>
      <c r="L21" s="0" t="n">
        <f aca="false">1</f>
        <v>1</v>
      </c>
      <c r="O21" s="9"/>
    </row>
    <row r="22" customFormat="false" ht="12.8" hidden="false" customHeight="false" outlineLevel="0" collapsed="false">
      <c r="B22" s="7" t="n">
        <f aca="false">B21+$E$4</f>
        <v>-3.2</v>
      </c>
      <c r="C22" s="7" t="n">
        <f aca="false">(B22-2)*COS(B22)-1</f>
        <v>4.19113283413272</v>
      </c>
      <c r="D22" s="7" t="str">
        <f aca="false">IF(C22*C21&lt;0,"+++++++++++++++++++++++++++++++++++++++++++++","")</f>
        <v/>
      </c>
      <c r="G22" s="9" t="s">
        <v>44</v>
      </c>
      <c r="J22" s="7" t="n">
        <f aca="false">J21+$M$4</f>
        <v>-3.2</v>
      </c>
      <c r="K22" s="0" t="n">
        <f aca="false">(J22-2)*COS(J22)</f>
        <v>5.19113283413272</v>
      </c>
      <c r="L22" s="0" t="n">
        <f aca="false">1</f>
        <v>1</v>
      </c>
      <c r="O22" s="9"/>
    </row>
    <row r="23" customFormat="false" ht="12.8" hidden="false" customHeight="false" outlineLevel="0" collapsed="false">
      <c r="B23" s="7" t="n">
        <f aca="false">B22+$E$4</f>
        <v>-3.1</v>
      </c>
      <c r="C23" s="7" t="n">
        <f aca="false">(B23-2)*COS(B23)-1</f>
        <v>4.09558926639373</v>
      </c>
      <c r="D23" s="7" t="str">
        <f aca="false">IF(C23*C22&lt;0,"+++++++++++++++++++++++++++++++++++++++++++++","")</f>
        <v/>
      </c>
      <c r="G23" s="9" t="s">
        <v>45</v>
      </c>
      <c r="J23" s="7" t="n">
        <f aca="false">J22+$M$4</f>
        <v>-3.1</v>
      </c>
      <c r="K23" s="0" t="n">
        <f aca="false">(J23-2)*COS(J23)</f>
        <v>5.09558926639373</v>
      </c>
      <c r="L23" s="0" t="n">
        <f aca="false">1</f>
        <v>1</v>
      </c>
      <c r="O23" s="9"/>
    </row>
    <row r="24" customFormat="false" ht="12.8" hidden="false" customHeight="false" outlineLevel="0" collapsed="false">
      <c r="B24" s="7" t="n">
        <f aca="false">B23+$E$4</f>
        <v>-3</v>
      </c>
      <c r="C24" s="7" t="n">
        <f aca="false">(B24-2)*COS(B24)-1</f>
        <v>3.94996248300223</v>
      </c>
      <c r="D24" s="7" t="str">
        <f aca="false">IF(C24*C23&lt;0,"+++++++++++++++++++++++++++++++++++++++++++++","")</f>
        <v/>
      </c>
      <c r="G24" s="9" t="s">
        <v>46</v>
      </c>
      <c r="J24" s="7" t="n">
        <f aca="false">J23+$M$4</f>
        <v>-3</v>
      </c>
      <c r="K24" s="0" t="n">
        <f aca="false">(J24-2)*COS(J24)</f>
        <v>4.94996248300223</v>
      </c>
      <c r="L24" s="0" t="n">
        <f aca="false">1</f>
        <v>1</v>
      </c>
      <c r="O24" s="9" t="s">
        <v>47</v>
      </c>
    </row>
    <row r="25" customFormat="false" ht="12.8" hidden="false" customHeight="false" outlineLevel="0" collapsed="false">
      <c r="B25" s="7" t="n">
        <f aca="false">B24+$E$4</f>
        <v>-2.9</v>
      </c>
      <c r="C25" s="7" t="n">
        <f aca="false">(B25-2)*COS(B25)-1</f>
        <v>3.757695009233</v>
      </c>
      <c r="D25" s="7" t="str">
        <f aca="false">IF(C25*C24&lt;0,"+++++++++++++++++++++++++++++++++++++++++++++","")</f>
        <v/>
      </c>
      <c r="G25" s="13" t="s">
        <v>48</v>
      </c>
      <c r="J25" s="7" t="n">
        <f aca="false">J24+$M$4</f>
        <v>-2.9</v>
      </c>
      <c r="K25" s="0" t="n">
        <f aca="false">(J25-2)*COS(J25)</f>
        <v>4.757695009233</v>
      </c>
      <c r="L25" s="0" t="n">
        <f aca="false">1</f>
        <v>1</v>
      </c>
      <c r="O25" s="13" t="s">
        <v>49</v>
      </c>
    </row>
    <row r="26" customFormat="false" ht="12.8" hidden="false" customHeight="false" outlineLevel="0" collapsed="false">
      <c r="B26" s="7" t="n">
        <f aca="false">B25+$E$4</f>
        <v>-2.8</v>
      </c>
      <c r="C26" s="7" t="n">
        <f aca="false">(B26-2)*COS(B26)-1</f>
        <v>3.52266723520956</v>
      </c>
      <c r="D26" s="7" t="str">
        <f aca="false">IF(C26*C25&lt;0,"+++++++++++++++++++++++++++++++++++++++++++++","")</f>
        <v/>
      </c>
      <c r="G26" s="9" t="s">
        <v>50</v>
      </c>
      <c r="J26" s="7" t="n">
        <f aca="false">J25+$M$4</f>
        <v>-2.8</v>
      </c>
      <c r="K26" s="0" t="n">
        <f aca="false">(J26-2)*COS(J26)</f>
        <v>4.52266723520957</v>
      </c>
      <c r="L26" s="0" t="n">
        <f aca="false">1</f>
        <v>1</v>
      </c>
    </row>
    <row r="27" customFormat="false" ht="12.8" hidden="false" customHeight="false" outlineLevel="0" collapsed="false">
      <c r="B27" s="7" t="n">
        <f aca="false">B26+$E$4</f>
        <v>-2.7</v>
      </c>
      <c r="C27" s="7" t="n">
        <f aca="false">(B27-2)*COS(B27)-1</f>
        <v>3.2491390674802</v>
      </c>
      <c r="D27" s="7" t="str">
        <f aca="false">IF(C27*C26&lt;0,"+++++++++++++++++++++++++++++++++++++++++++++","")</f>
        <v/>
      </c>
      <c r="G27" s="9" t="s">
        <v>51</v>
      </c>
      <c r="J27" s="7" t="n">
        <f aca="false">J26+$M$4</f>
        <v>-2.7</v>
      </c>
      <c r="K27" s="0" t="n">
        <f aca="false">(J27-2)*COS(J27)</f>
        <v>4.2491390674802</v>
      </c>
      <c r="L27" s="0" t="n">
        <f aca="false">1</f>
        <v>1</v>
      </c>
    </row>
    <row r="28" customFormat="false" ht="12.8" hidden="false" customHeight="false" outlineLevel="0" collapsed="false">
      <c r="B28" s="7" t="n">
        <f aca="false">B27+$E$4</f>
        <v>-2.6</v>
      </c>
      <c r="C28" s="7" t="n">
        <f aca="false">(B28-2)*COS(B28)-1</f>
        <v>2.94168826549716</v>
      </c>
      <c r="D28" s="7" t="str">
        <f aca="false">IF(C28*C27&lt;0,"+++++++++++++++++++++++++++++++++++++++++++++","")</f>
        <v/>
      </c>
      <c r="G28" s="14" t="s">
        <v>52</v>
      </c>
      <c r="J28" s="7" t="n">
        <f aca="false">J27+$M$4</f>
        <v>-2.6</v>
      </c>
      <c r="K28" s="0" t="n">
        <f aca="false">(J28-2)*COS(J28)</f>
        <v>3.94168826549716</v>
      </c>
      <c r="L28" s="0" t="n">
        <f aca="false">1</f>
        <v>1</v>
      </c>
    </row>
    <row r="29" customFormat="false" ht="12.8" hidden="false" customHeight="false" outlineLevel="0" collapsed="false">
      <c r="B29" s="7" t="n">
        <f aca="false">B28+$E$4</f>
        <v>-2.5</v>
      </c>
      <c r="C29" s="7" t="n">
        <f aca="false">(B29-2)*COS(B29)-1</f>
        <v>2.60514626996121</v>
      </c>
      <c r="D29" s="7" t="str">
        <f aca="false">IF(C29*C28&lt;0,"+++++++++++++++++++++++++++++++++++++++++++++","")</f>
        <v/>
      </c>
      <c r="J29" s="7" t="n">
        <f aca="false">J28+$M$4</f>
        <v>-2.5</v>
      </c>
      <c r="K29" s="0" t="n">
        <f aca="false">(J29-2)*COS(J29)</f>
        <v>3.60514626996121</v>
      </c>
      <c r="L29" s="0" t="n">
        <f aca="false">1</f>
        <v>1</v>
      </c>
    </row>
    <row r="30" customFormat="false" ht="12.8" hidden="false" customHeight="false" outlineLevel="0" collapsed="false">
      <c r="B30" s="7" t="n">
        <f aca="false">B29+$E$4</f>
        <v>-2.4</v>
      </c>
      <c r="C30" s="7" t="n">
        <f aca="false">(B30-2)*COS(B30)-1</f>
        <v>2.24453234838149</v>
      </c>
      <c r="D30" s="7" t="str">
        <f aca="false">IF(C30*C29&lt;0,"+++++++++++++++++++++++++++++++++++++++++++++","")</f>
        <v/>
      </c>
      <c r="J30" s="7" t="n">
        <f aca="false">J29+$M$4</f>
        <v>-2.4</v>
      </c>
      <c r="K30" s="0" t="n">
        <f aca="false">(J30-2)*COS(J30)</f>
        <v>3.24453234838149</v>
      </c>
      <c r="L30" s="0" t="n">
        <f aca="false">1</f>
        <v>1</v>
      </c>
    </row>
    <row r="31" customFormat="false" ht="12.8" hidden="false" customHeight="false" outlineLevel="0" collapsed="false">
      <c r="B31" s="7" t="n">
        <f aca="false">B30+$E$4</f>
        <v>-2.3</v>
      </c>
      <c r="C31" s="7" t="n">
        <f aca="false">(B31-2)*COS(B31)-1</f>
        <v>1.86498689150325</v>
      </c>
      <c r="D31" s="7" t="str">
        <f aca="false">IF(C31*C30&lt;0,"+++++++++++++++++++++++++++++++++++++++++++++","")</f>
        <v/>
      </c>
      <c r="J31" s="7" t="n">
        <f aca="false">J30+$M$4</f>
        <v>-2.3</v>
      </c>
      <c r="K31" s="0" t="n">
        <f aca="false">(J31-2)*COS(J31)</f>
        <v>2.86498689150325</v>
      </c>
      <c r="L31" s="0" t="n">
        <f aca="false">1</f>
        <v>1</v>
      </c>
    </row>
    <row r="32" customFormat="false" ht="12.8" hidden="false" customHeight="false" outlineLevel="0" collapsed="false">
      <c r="B32" s="7" t="n">
        <f aca="false">B31+$E$4</f>
        <v>-2.2</v>
      </c>
      <c r="C32" s="7" t="n">
        <f aca="false">(B32-2)*COS(B32)-1</f>
        <v>1.47170469247246</v>
      </c>
      <c r="D32" s="7" t="str">
        <f aca="false">IF(C32*C31&lt;0,"+++++++++++++++++++++++++++++++++++++++++++++","")</f>
        <v/>
      </c>
      <c r="J32" s="7" t="n">
        <f aca="false">J31+$M$4</f>
        <v>-2.2</v>
      </c>
      <c r="K32" s="0" t="n">
        <f aca="false">(J32-2)*COS(J32)</f>
        <v>2.47170469247246</v>
      </c>
      <c r="L32" s="0" t="n">
        <f aca="false">1</f>
        <v>1</v>
      </c>
    </row>
    <row r="33" customFormat="false" ht="12.8" hidden="false" customHeight="false" outlineLevel="0" collapsed="false">
      <c r="B33" s="7" t="n">
        <f aca="false">B32+$E$4</f>
        <v>-2.1</v>
      </c>
      <c r="C33" s="7" t="n">
        <f aca="false">(B33-2)*COS(B33)-1</f>
        <v>1.06986902885942</v>
      </c>
      <c r="D33" s="7" t="str">
        <f aca="false">IF(C33*C32&lt;0,"+++++++++++++++++++++++++++++++++++++++++++++","")</f>
        <v/>
      </c>
      <c r="J33" s="7" t="n">
        <f aca="false">J32+$M$4</f>
        <v>-2.1</v>
      </c>
      <c r="K33" s="0" t="n">
        <f aca="false">(J33-2)*COS(J33)</f>
        <v>2.06986902885942</v>
      </c>
      <c r="L33" s="0" t="n">
        <f aca="false">1</f>
        <v>1</v>
      </c>
    </row>
    <row r="34" customFormat="false" ht="12.8" hidden="false" customHeight="false" outlineLevel="0" collapsed="false">
      <c r="B34" s="7" t="n">
        <f aca="false">B33+$E$4</f>
        <v>-2</v>
      </c>
      <c r="C34" s="7" t="n">
        <f aca="false">(B34-2)*COS(B34)-1</f>
        <v>0.664587346188577</v>
      </c>
      <c r="D34" s="7" t="str">
        <f aca="false">IF(C34*C33&lt;0,"+++++++++++++++++++++++++++++++++++++++++++++","")</f>
        <v/>
      </c>
      <c r="J34" s="7" t="n">
        <f aca="false">J33+$M$4</f>
        <v>-2</v>
      </c>
      <c r="K34" s="0" t="n">
        <f aca="false">(J34-2)*COS(J34)</f>
        <v>1.66458734618858</v>
      </c>
      <c r="L34" s="0" t="n">
        <f aca="false">1</f>
        <v>1</v>
      </c>
    </row>
    <row r="35" customFormat="false" ht="12.8" hidden="false" customHeight="false" outlineLevel="0" collapsed="false">
      <c r="B35" s="11" t="n">
        <f aca="false">B34+$E$4</f>
        <v>-1.9</v>
      </c>
      <c r="C35" s="11" t="n">
        <f aca="false">(B35-2)*COS(B35)-1</f>
        <v>0.26082931076767</v>
      </c>
      <c r="D35" s="7" t="str">
        <f aca="false">IF(C35*C34&lt;0,"+++++++++++++++++++++++++++++++++++++++++++++","")</f>
        <v/>
      </c>
      <c r="J35" s="7" t="n">
        <f aca="false">J34+$M$4</f>
        <v>-1.9</v>
      </c>
      <c r="K35" s="0" t="n">
        <f aca="false">(J35-2)*COS(J35)</f>
        <v>1.26082931076767</v>
      </c>
      <c r="L35" s="0" t="n">
        <f aca="false">1</f>
        <v>1</v>
      </c>
    </row>
    <row r="36" customFormat="false" ht="12.8" hidden="false" customHeight="false" outlineLevel="0" collapsed="false">
      <c r="B36" s="11" t="n">
        <f aca="false">B35+$E$4</f>
        <v>-1.8</v>
      </c>
      <c r="C36" s="11" t="n">
        <f aca="false">(B36-2)*COS(B36)-1</f>
        <v>-0.136632040166263</v>
      </c>
      <c r="D36" s="7" t="str">
        <f aca="false">IF(C36*C35&lt;0,"+++++++++++++++++++++++++++++++++++++++++++++","")</f>
        <v>+++++++++++++++++++++++++++++++++++++++++++++</v>
      </c>
      <c r="J36" s="7" t="n">
        <f aca="false">J35+$M$4</f>
        <v>-1.8</v>
      </c>
      <c r="K36" s="0" t="n">
        <f aca="false">(J36-2)*COS(J36)</f>
        <v>0.863367959833737</v>
      </c>
      <c r="L36" s="0" t="n">
        <f aca="false">1</f>
        <v>1</v>
      </c>
    </row>
    <row r="37" customFormat="false" ht="12.8" hidden="false" customHeight="false" outlineLevel="0" collapsed="false">
      <c r="B37" s="7" t="n">
        <f aca="false">B36+$E$4</f>
        <v>-1.7</v>
      </c>
      <c r="C37" s="7" t="n">
        <f aca="false">(B37-2)*COS(B37)-1</f>
        <v>-0.523275371106553</v>
      </c>
      <c r="D37" s="7" t="str">
        <f aca="false">IF(C37*C36&lt;0,"+++++++++++++++++++++++++++++++++++++++++++++","")</f>
        <v/>
      </c>
      <c r="J37" s="7" t="n">
        <f aca="false">J36+$M$4</f>
        <v>-1.7</v>
      </c>
      <c r="K37" s="0" t="n">
        <f aca="false">(J37-2)*COS(J37)</f>
        <v>0.476724628893447</v>
      </c>
      <c r="L37" s="0" t="n">
        <f aca="false">1</f>
        <v>1</v>
      </c>
    </row>
    <row r="38" customFormat="false" ht="12.8" hidden="false" customHeight="false" outlineLevel="0" collapsed="false">
      <c r="B38" s="7" t="n">
        <f aca="false">B37+$E$4</f>
        <v>-1.6</v>
      </c>
      <c r="C38" s="7" t="n">
        <f aca="false">(B38-2)*COS(B38)-1</f>
        <v>-0.894881719715355</v>
      </c>
      <c r="D38" s="7" t="str">
        <f aca="false">IF(C38*C37&lt;0,"+++++++++++++++++++++++++++++++++++++++++++++","")</f>
        <v/>
      </c>
      <c r="J38" s="7" t="n">
        <f aca="false">J37+$M$4</f>
        <v>-1.6</v>
      </c>
      <c r="K38" s="0" t="n">
        <f aca="false">(J38-2)*COS(J38)</f>
        <v>0.105118280284645</v>
      </c>
      <c r="L38" s="0" t="n">
        <f aca="false">1</f>
        <v>1</v>
      </c>
    </row>
    <row r="39" customFormat="false" ht="12.8" hidden="false" customHeight="false" outlineLevel="0" collapsed="false">
      <c r="B39" s="7" t="n">
        <f aca="false">B38+$E$4</f>
        <v>-1.5</v>
      </c>
      <c r="C39" s="7" t="n">
        <f aca="false">(B39-2)*COS(B39)-1</f>
        <v>-1.24758020583696</v>
      </c>
      <c r="D39" s="7" t="str">
        <f aca="false">IF(C39*C38&lt;0,"+++++++++++++++++++++++++++++++++++++++++++++","")</f>
        <v/>
      </c>
      <c r="J39" s="7" t="n">
        <f aca="false">J38+$M$4</f>
        <v>-1.5</v>
      </c>
      <c r="K39" s="0" t="n">
        <f aca="false">(J39-2)*COS(J39)</f>
        <v>-0.247580205836956</v>
      </c>
      <c r="L39" s="0" t="n">
        <f aca="false">1</f>
        <v>1</v>
      </c>
    </row>
    <row r="40" customFormat="false" ht="12.8" hidden="false" customHeight="false" outlineLevel="0" collapsed="false">
      <c r="B40" s="7" t="n">
        <f aca="false">B39+$E$4</f>
        <v>-1.4</v>
      </c>
      <c r="C40" s="7" t="n">
        <f aca="false">(B40-2)*COS(B40)-1</f>
        <v>-1.57788828586082</v>
      </c>
      <c r="D40" s="7" t="str">
        <f aca="false">IF(C40*C39&lt;0,"+++++++++++++++++++++++++++++++++++++++++++++","")</f>
        <v/>
      </c>
      <c r="J40" s="7" t="n">
        <f aca="false">J39+$M$4</f>
        <v>-1.4</v>
      </c>
      <c r="K40" s="0" t="n">
        <f aca="false">(J40-2)*COS(J40)</f>
        <v>-0.577888285860815</v>
      </c>
      <c r="L40" s="0" t="n">
        <f aca="false">1</f>
        <v>1</v>
      </c>
    </row>
    <row r="41" customFormat="false" ht="12.8" hidden="false" customHeight="false" outlineLevel="0" collapsed="false">
      <c r="B41" s="7" t="n">
        <f aca="false">B40+$E$4</f>
        <v>-1.3</v>
      </c>
      <c r="C41" s="7" t="n">
        <f aca="false">(B41-2)*COS(B41)-1</f>
        <v>-1.88274613446114</v>
      </c>
      <c r="D41" s="7" t="str">
        <f aca="false">IF(C41*C40&lt;0,"+++++++++++++++++++++++++++++++++++++++++++++","")</f>
        <v/>
      </c>
      <c r="J41" s="7" t="n">
        <f aca="false">J40+$M$4</f>
        <v>-1.3</v>
      </c>
      <c r="K41" s="0" t="n">
        <f aca="false">(J41-2)*COS(J41)</f>
        <v>-0.882746134461135</v>
      </c>
      <c r="L41" s="0" t="n">
        <f aca="false">1</f>
        <v>1</v>
      </c>
    </row>
    <row r="42" customFormat="false" ht="12.8" hidden="false" customHeight="false" outlineLevel="0" collapsed="false">
      <c r="B42" s="7" t="n">
        <f aca="false">B41+$E$4</f>
        <v>-1.2</v>
      </c>
      <c r="C42" s="7" t="n">
        <f aca="false">(B42-2)*COS(B42)-1</f>
        <v>-2.15954481432535</v>
      </c>
      <c r="D42" s="7" t="str">
        <f aca="false">IF(C42*C41&lt;0,"+++++++++++++++++++++++++++++++++++++++++++++","")</f>
        <v/>
      </c>
      <c r="J42" s="7" t="n">
        <f aca="false">J41+$M$4</f>
        <v>-1.2</v>
      </c>
      <c r="K42" s="0" t="n">
        <f aca="false">(J42-2)*COS(J42)</f>
        <v>-1.15954481432535</v>
      </c>
      <c r="L42" s="0" t="n">
        <f aca="false">1</f>
        <v>1</v>
      </c>
    </row>
    <row r="43" customFormat="false" ht="12.8" hidden="false" customHeight="false" outlineLevel="0" collapsed="false">
      <c r="B43" s="7" t="n">
        <f aca="false">B42+$E$4</f>
        <v>-1.1</v>
      </c>
      <c r="C43" s="7" t="n">
        <f aca="false">(B43-2)*COS(B43)-1</f>
        <v>-2.40614797641929</v>
      </c>
      <c r="D43" s="7" t="str">
        <f aca="false">IF(C43*C42&lt;0,"+++++++++++++++++++++++++++++++++++++++++++++","")</f>
        <v/>
      </c>
      <c r="J43" s="7" t="n">
        <f aca="false">J42+$M$4</f>
        <v>-1.1</v>
      </c>
      <c r="K43" s="0" t="n">
        <f aca="false">(J43-2)*COS(J43)</f>
        <v>-1.40614797641929</v>
      </c>
      <c r="L43" s="0" t="n">
        <f aca="false">1</f>
        <v>1</v>
      </c>
    </row>
    <row r="44" customFormat="false" ht="12.8" hidden="false" customHeight="false" outlineLevel="0" collapsed="false">
      <c r="B44" s="7" t="n">
        <f aca="false">B43+$E$4</f>
        <v>-1</v>
      </c>
      <c r="C44" s="7" t="n">
        <f aca="false">(B44-2)*COS(B44)-1</f>
        <v>-2.62090691760442</v>
      </c>
      <c r="D44" s="7" t="str">
        <f aca="false">IF(C44*C43&lt;0,"+++++++++++++++++++++++++++++++++++++++++++++","")</f>
        <v/>
      </c>
      <c r="J44" s="7" t="n">
        <f aca="false">J43+$M$4</f>
        <v>-1</v>
      </c>
      <c r="K44" s="0" t="n">
        <f aca="false">(J44-2)*COS(J44)</f>
        <v>-1.62090691760442</v>
      </c>
      <c r="L44" s="0" t="n">
        <f aca="false">1</f>
        <v>1</v>
      </c>
    </row>
    <row r="45" customFormat="false" ht="12.8" hidden="false" customHeight="false" outlineLevel="0" collapsed="false">
      <c r="B45" s="7"/>
      <c r="C45" s="7"/>
      <c r="D45" s="7"/>
      <c r="J45" s="7"/>
    </row>
    <row r="46" customFormat="false" ht="12.8" hidden="false" customHeight="false" outlineLevel="0" collapsed="false">
      <c r="B46" s="7"/>
      <c r="C46" s="7"/>
      <c r="D46" s="7"/>
      <c r="G46" s="15" t="s">
        <v>53</v>
      </c>
      <c r="H46" s="16"/>
      <c r="I46" s="16"/>
      <c r="J46" s="7"/>
    </row>
    <row r="47" customFormat="false" ht="12.8" hidden="false" customHeight="false" outlineLevel="0" collapsed="false">
      <c r="B47" s="7"/>
      <c r="C47" s="7"/>
      <c r="D47" s="7"/>
      <c r="J47" s="7"/>
    </row>
    <row r="48" customFormat="false" ht="12.8" hidden="false" customHeight="false" outlineLevel="0" collapsed="false">
      <c r="B48" s="7"/>
      <c r="C48" s="7"/>
      <c r="D48" s="7"/>
      <c r="J48" s="7"/>
    </row>
    <row r="49" customFormat="false" ht="12.8" hidden="false" customHeight="false" outlineLevel="0" collapsed="false">
      <c r="B49" s="7"/>
      <c r="C49" s="7"/>
      <c r="D49" s="7"/>
      <c r="J49" s="7"/>
    </row>
    <row r="50" customFormat="false" ht="12.8" hidden="false" customHeight="false" outlineLevel="0" collapsed="false">
      <c r="B50" s="7"/>
      <c r="C50" s="7"/>
      <c r="D50" s="7"/>
      <c r="J50" s="7"/>
    </row>
    <row r="51" customFormat="false" ht="12.8" hidden="false" customHeight="false" outlineLevel="0" collapsed="false">
      <c r="B51" s="7"/>
      <c r="C51" s="7"/>
      <c r="D51" s="7"/>
      <c r="J51" s="7"/>
    </row>
    <row r="52" customFormat="false" ht="12.8" hidden="false" customHeight="false" outlineLevel="0" collapsed="false">
      <c r="B52" s="7"/>
      <c r="C52" s="7"/>
      <c r="D52" s="7"/>
      <c r="J52" s="7"/>
    </row>
    <row r="53" customFormat="false" ht="12.8" hidden="false" customHeight="false" outlineLevel="0" collapsed="false">
      <c r="B53" s="7"/>
      <c r="C53" s="7"/>
      <c r="D53" s="7"/>
      <c r="J53" s="7"/>
    </row>
    <row r="54" customFormat="false" ht="12.8" hidden="false" customHeight="false" outlineLevel="0" collapsed="false">
      <c r="B54" s="7"/>
      <c r="C54" s="7"/>
      <c r="D54" s="7"/>
      <c r="J54" s="7"/>
    </row>
    <row r="55" customFormat="false" ht="12.8" hidden="false" customHeight="false" outlineLevel="0" collapsed="false">
      <c r="B55" s="7"/>
      <c r="C55" s="7"/>
      <c r="D55" s="7"/>
      <c r="J55" s="7"/>
    </row>
    <row r="56" customFormat="false" ht="12.8" hidden="false" customHeight="false" outlineLevel="0" collapsed="false">
      <c r="B56" s="7"/>
      <c r="C56" s="7"/>
      <c r="D56" s="7"/>
      <c r="J56" s="7"/>
    </row>
    <row r="57" customFormat="false" ht="12.8" hidden="false" customHeight="false" outlineLevel="0" collapsed="false">
      <c r="B57" s="7"/>
      <c r="C57" s="7"/>
      <c r="D57" s="7"/>
      <c r="J57" s="7"/>
    </row>
    <row r="58" customFormat="false" ht="12.8" hidden="false" customHeight="false" outlineLevel="0" collapsed="false">
      <c r="B58" s="7"/>
      <c r="C58" s="7"/>
      <c r="D58" s="7"/>
      <c r="J58" s="7"/>
    </row>
    <row r="59" customFormat="false" ht="12.8" hidden="false" customHeight="false" outlineLevel="0" collapsed="false">
      <c r="B59" s="7"/>
      <c r="C59" s="7"/>
      <c r="D59" s="7"/>
      <c r="J59" s="7"/>
    </row>
    <row r="60" customFormat="false" ht="12.8" hidden="false" customHeight="false" outlineLevel="0" collapsed="false">
      <c r="B60" s="7"/>
      <c r="C60" s="7"/>
      <c r="D60" s="7"/>
      <c r="J60" s="7"/>
    </row>
    <row r="61" customFormat="false" ht="12.8" hidden="false" customHeight="false" outlineLevel="0" collapsed="false">
      <c r="B61" s="7"/>
      <c r="C61" s="7"/>
      <c r="D61" s="7"/>
      <c r="J61" s="7"/>
    </row>
    <row r="62" customFormat="false" ht="12.8" hidden="false" customHeight="false" outlineLevel="0" collapsed="false">
      <c r="B62" s="7"/>
      <c r="C62" s="7"/>
      <c r="D62" s="7"/>
      <c r="J62" s="7"/>
    </row>
    <row r="63" customFormat="false" ht="12.8" hidden="false" customHeight="false" outlineLevel="0" collapsed="false">
      <c r="B63" s="7"/>
      <c r="C63" s="7"/>
      <c r="D63" s="7"/>
      <c r="J63" s="7"/>
    </row>
    <row r="64" customFormat="false" ht="12.8" hidden="false" customHeight="false" outlineLevel="0" collapsed="false">
      <c r="B64" s="7"/>
      <c r="C64" s="7"/>
      <c r="D64" s="7"/>
      <c r="J64" s="7"/>
    </row>
    <row r="65" customFormat="false" ht="12.8" hidden="false" customHeight="false" outlineLevel="0" collapsed="false">
      <c r="B65" s="7"/>
      <c r="C65" s="7"/>
      <c r="D65" s="7"/>
      <c r="J65" s="7"/>
    </row>
    <row r="66" customFormat="false" ht="12.8" hidden="false" customHeight="false" outlineLevel="0" collapsed="false">
      <c r="B66" s="7"/>
      <c r="C66" s="7"/>
      <c r="D66" s="7"/>
      <c r="J66" s="7"/>
    </row>
    <row r="67" customFormat="false" ht="12.8" hidden="false" customHeight="false" outlineLevel="0" collapsed="false">
      <c r="B67" s="7"/>
      <c r="C67" s="7"/>
      <c r="D67" s="7"/>
      <c r="J67" s="7"/>
    </row>
    <row r="68" customFormat="false" ht="12.8" hidden="false" customHeight="false" outlineLevel="0" collapsed="false">
      <c r="B68" s="7"/>
      <c r="C68" s="7"/>
      <c r="D68" s="7"/>
      <c r="J68" s="7"/>
    </row>
    <row r="69" customFormat="false" ht="12.8" hidden="false" customHeight="false" outlineLevel="0" collapsed="false">
      <c r="B69" s="7"/>
      <c r="C69" s="7"/>
      <c r="D69" s="7"/>
      <c r="J69" s="7"/>
    </row>
    <row r="70" customFormat="false" ht="12.8" hidden="false" customHeight="false" outlineLevel="0" collapsed="false">
      <c r="B70" s="7"/>
      <c r="C70" s="7"/>
      <c r="D70" s="7"/>
      <c r="J70" s="7"/>
    </row>
    <row r="71" customFormat="false" ht="12.8" hidden="false" customHeight="false" outlineLevel="0" collapsed="false">
      <c r="B71" s="7"/>
      <c r="C71" s="7"/>
      <c r="D71" s="7"/>
      <c r="J71" s="7"/>
    </row>
    <row r="72" customFormat="false" ht="12.8" hidden="false" customHeight="false" outlineLevel="0" collapsed="false">
      <c r="B72" s="7"/>
      <c r="C72" s="7"/>
      <c r="D72" s="7"/>
      <c r="J72" s="7"/>
    </row>
    <row r="73" customFormat="false" ht="12.8" hidden="false" customHeight="false" outlineLevel="0" collapsed="false">
      <c r="B73" s="7"/>
      <c r="C73" s="7"/>
      <c r="D73" s="7"/>
      <c r="J73" s="7"/>
    </row>
    <row r="74" customFormat="false" ht="12.8" hidden="false" customHeight="false" outlineLevel="0" collapsed="false">
      <c r="B74" s="7"/>
      <c r="C74" s="7"/>
      <c r="D74" s="7"/>
      <c r="J74" s="7"/>
    </row>
    <row r="75" customFormat="false" ht="12.8" hidden="false" customHeight="false" outlineLevel="0" collapsed="false">
      <c r="B75" s="7"/>
      <c r="C75" s="7"/>
      <c r="D75" s="7"/>
      <c r="J75" s="7"/>
    </row>
    <row r="76" customFormat="false" ht="12.8" hidden="false" customHeight="false" outlineLevel="0" collapsed="false">
      <c r="B76" s="7"/>
      <c r="C76" s="7"/>
      <c r="D76" s="7"/>
      <c r="J76" s="7"/>
    </row>
    <row r="77" customFormat="false" ht="12.8" hidden="false" customHeight="false" outlineLevel="0" collapsed="false">
      <c r="B77" s="7"/>
      <c r="C77" s="7"/>
      <c r="D77" s="7"/>
      <c r="J77" s="7"/>
    </row>
    <row r="78" customFormat="false" ht="12.8" hidden="false" customHeight="false" outlineLevel="0" collapsed="false">
      <c r="B78" s="7"/>
      <c r="C78" s="7"/>
      <c r="D78" s="7"/>
      <c r="J78" s="7"/>
    </row>
    <row r="79" customFormat="false" ht="12.8" hidden="false" customHeight="false" outlineLevel="0" collapsed="false">
      <c r="B79" s="7"/>
      <c r="C79" s="7"/>
      <c r="D79" s="7"/>
      <c r="J79" s="7"/>
    </row>
    <row r="80" customFormat="false" ht="12.75" hidden="false" customHeight="false" outlineLevel="0" collapsed="false">
      <c r="B80" s="7"/>
      <c r="C80" s="7"/>
      <c r="D80" s="7"/>
      <c r="J80" s="7"/>
    </row>
    <row r="81" customFormat="false" ht="12.75" hidden="false" customHeight="false" outlineLevel="0" collapsed="false">
      <c r="B81" s="7"/>
      <c r="C81" s="7"/>
      <c r="D81" s="7"/>
    </row>
    <row r="82" customFormat="false" ht="12.75" hidden="false" customHeight="false" outlineLevel="0" collapsed="false">
      <c r="B82" s="7"/>
      <c r="C82" s="7"/>
      <c r="D82" s="7"/>
    </row>
    <row r="83" customFormat="false" ht="12.75" hidden="false" customHeight="false" outlineLevel="0" collapsed="false">
      <c r="B83" s="7"/>
      <c r="C83" s="7"/>
      <c r="D83" s="7"/>
    </row>
    <row r="84" customFormat="false" ht="12.75" hidden="false" customHeight="false" outlineLevel="0" collapsed="false">
      <c r="B84" s="7"/>
      <c r="C84" s="7"/>
      <c r="D84" s="7"/>
    </row>
    <row r="85" customFormat="false" ht="12.75" hidden="false" customHeight="false" outlineLevel="0" collapsed="false">
      <c r="B85" s="7"/>
      <c r="C85" s="7"/>
      <c r="D85" s="7"/>
    </row>
    <row r="86" customFormat="false" ht="12.75" hidden="false" customHeight="false" outlineLevel="0" collapsed="false">
      <c r="B86" s="7"/>
      <c r="C86" s="7"/>
      <c r="D86" s="7"/>
    </row>
    <row r="87" customFormat="false" ht="12.75" hidden="false" customHeight="false" outlineLevel="0" collapsed="false">
      <c r="B87" s="7"/>
      <c r="C87" s="7"/>
      <c r="D87" s="7"/>
    </row>
    <row r="88" customFormat="false" ht="12.75" hidden="false" customHeight="false" outlineLevel="0" collapsed="false">
      <c r="B88" s="7"/>
      <c r="C88" s="7"/>
      <c r="D88" s="7"/>
    </row>
    <row r="89" customFormat="false" ht="12.75" hidden="false" customHeight="false" outlineLevel="0" collapsed="false">
      <c r="B89" s="7"/>
      <c r="C89" s="7"/>
      <c r="D89" s="7"/>
    </row>
    <row r="90" customFormat="false" ht="12.75" hidden="false" customHeight="false" outlineLevel="0" collapsed="false">
      <c r="B90" s="7"/>
      <c r="C90" s="7"/>
      <c r="D90" s="7"/>
    </row>
    <row r="91" customFormat="false" ht="12.75" hidden="false" customHeight="false" outlineLevel="0" collapsed="false">
      <c r="B91" s="7"/>
      <c r="C91" s="7"/>
      <c r="D91" s="7"/>
    </row>
    <row r="92" customFormat="false" ht="12.75" hidden="false" customHeight="false" outlineLevel="0" collapsed="false">
      <c r="B92" s="7"/>
      <c r="C92" s="7"/>
      <c r="D92" s="7"/>
    </row>
    <row r="93" customFormat="false" ht="12.75" hidden="false" customHeight="false" outlineLevel="0" collapsed="false">
      <c r="B93" s="7"/>
      <c r="C93" s="7"/>
      <c r="D93" s="7"/>
    </row>
    <row r="94" customFormat="false" ht="12.75" hidden="false" customHeight="false" outlineLevel="0" collapsed="false">
      <c r="B94" s="7"/>
      <c r="C94" s="7"/>
      <c r="D94" s="7"/>
    </row>
    <row r="95" customFormat="false" ht="12.75" hidden="false" customHeight="false" outlineLevel="0" collapsed="false">
      <c r="B95" s="7"/>
      <c r="C95" s="7"/>
      <c r="D95" s="7"/>
    </row>
    <row r="96" customFormat="false" ht="12.75" hidden="false" customHeight="false" outlineLevel="0" collapsed="false">
      <c r="B96" s="7"/>
      <c r="C96" s="7"/>
      <c r="D96" s="7"/>
    </row>
    <row r="97" customFormat="false" ht="12.75" hidden="false" customHeight="false" outlineLevel="0" collapsed="false">
      <c r="A97" s="7"/>
      <c r="B97" s="7"/>
      <c r="C97" s="7"/>
      <c r="D97" s="7"/>
      <c r="E97" s="7"/>
      <c r="F97" s="7"/>
    </row>
    <row r="98" customFormat="false" ht="12.75" hidden="false" customHeight="false" outlineLevel="0" collapsed="false">
      <c r="A98" s="7"/>
      <c r="B98" s="7"/>
      <c r="C98" s="7"/>
      <c r="D98" s="7"/>
      <c r="E98" s="7"/>
      <c r="F98" s="7"/>
    </row>
    <row r="99" customFormat="false" ht="12.75" hidden="false" customHeight="false" outlineLevel="0" collapsed="false">
      <c r="A99" s="7"/>
      <c r="B99" s="7"/>
      <c r="C99" s="7"/>
      <c r="D99" s="7"/>
      <c r="E99" s="7"/>
      <c r="F99" s="7"/>
    </row>
    <row r="100" customFormat="false" ht="12.75" hidden="false" customHeight="false" outlineLevel="0" collapsed="false">
      <c r="A100" s="7"/>
      <c r="B100" s="7"/>
      <c r="C100" s="7"/>
      <c r="D100" s="7"/>
      <c r="E100" s="7"/>
      <c r="F100" s="7"/>
    </row>
    <row r="101" customFormat="false" ht="12.75" hidden="false" customHeight="false" outlineLevel="0" collapsed="false">
      <c r="A101" s="7"/>
      <c r="B101" s="7"/>
      <c r="C101" s="7"/>
      <c r="D101" s="7"/>
      <c r="E101" s="7"/>
      <c r="F101" s="7"/>
    </row>
    <row r="102" customFormat="false" ht="12.75" hidden="false" customHeight="false" outlineLevel="0" collapsed="false">
      <c r="A102" s="7"/>
      <c r="B102" s="7"/>
      <c r="C102" s="7"/>
      <c r="D102" s="7"/>
      <c r="E102" s="7"/>
      <c r="F102" s="7"/>
    </row>
    <row r="103" customFormat="false" ht="12.75" hidden="false" customHeight="false" outlineLevel="0" collapsed="false">
      <c r="A103" s="7"/>
      <c r="B103" s="7"/>
      <c r="C103" s="7"/>
      <c r="D103" s="7"/>
      <c r="E103" s="7"/>
      <c r="F103" s="7"/>
    </row>
    <row r="104" customFormat="false" ht="12.75" hidden="false" customHeight="false" outlineLevel="0" collapsed="false">
      <c r="A104" s="7"/>
      <c r="B104" s="7"/>
      <c r="C104" s="7"/>
      <c r="D104" s="7"/>
      <c r="E104" s="7"/>
      <c r="F104" s="7"/>
    </row>
    <row r="105" customFormat="false" ht="12.75" hidden="false" customHeight="false" outlineLevel="0" collapsed="false">
      <c r="A105" s="7"/>
      <c r="B105" s="7"/>
      <c r="C105" s="7"/>
      <c r="D105" s="7"/>
      <c r="E105" s="7"/>
      <c r="F105" s="7"/>
    </row>
    <row r="106" customFormat="false" ht="12.75" hidden="false" customHeight="false" outlineLevel="0" collapsed="false">
      <c r="A106" s="7"/>
      <c r="B106" s="7"/>
      <c r="C106" s="7"/>
      <c r="D106" s="7"/>
      <c r="E106" s="7"/>
      <c r="F106" s="7"/>
    </row>
    <row r="107" customFormat="false" ht="12.75" hidden="false" customHeight="false" outlineLevel="0" collapsed="false">
      <c r="A107" s="7"/>
      <c r="B107" s="7"/>
      <c r="C107" s="7"/>
      <c r="D107" s="7"/>
      <c r="E107" s="7"/>
      <c r="F107" s="7"/>
    </row>
    <row r="108" customFormat="false" ht="12.75" hidden="false" customHeight="false" outlineLevel="0" collapsed="false">
      <c r="A108" s="7"/>
      <c r="B108" s="7"/>
      <c r="C108" s="7"/>
      <c r="D108" s="7"/>
      <c r="E108" s="7"/>
      <c r="F108" s="7"/>
    </row>
    <row r="109" customFormat="false" ht="12.75" hidden="false" customHeight="false" outlineLevel="0" collapsed="false">
      <c r="A109" s="7"/>
      <c r="B109" s="7"/>
      <c r="C109" s="7"/>
      <c r="D109" s="7"/>
      <c r="E109" s="7"/>
      <c r="F109" s="7"/>
    </row>
    <row r="110" customFormat="false" ht="12.75" hidden="false" customHeight="false" outlineLevel="0" collapsed="false">
      <c r="A110" s="7"/>
      <c r="B110" s="7"/>
      <c r="C110" s="7"/>
      <c r="D110" s="7"/>
      <c r="E110" s="7"/>
      <c r="F110" s="7"/>
    </row>
    <row r="111" customFormat="false" ht="12.75" hidden="false" customHeight="false" outlineLevel="0" collapsed="false">
      <c r="A111" s="7"/>
      <c r="B111" s="7"/>
      <c r="C111" s="7"/>
      <c r="D111" s="7"/>
      <c r="E111" s="7"/>
      <c r="F111" s="7"/>
    </row>
    <row r="112" customFormat="false" ht="12.75" hidden="false" customHeight="false" outlineLevel="0" collapsed="false">
      <c r="A112" s="7"/>
      <c r="B112" s="7"/>
      <c r="C112" s="7"/>
      <c r="D112" s="7"/>
      <c r="E112" s="7"/>
      <c r="F112" s="7"/>
    </row>
    <row r="113" customFormat="false" ht="12.75" hidden="false" customHeight="false" outlineLevel="0" collapsed="false">
      <c r="A113" s="7"/>
      <c r="B113" s="7"/>
      <c r="C113" s="7"/>
      <c r="D113" s="7"/>
      <c r="E113" s="7"/>
      <c r="F113" s="7"/>
    </row>
    <row r="114" customFormat="false" ht="12.75" hidden="false" customHeight="false" outlineLevel="0" collapsed="false">
      <c r="A114" s="7"/>
      <c r="B114" s="7"/>
      <c r="C114" s="7"/>
      <c r="D114" s="7"/>
      <c r="E114" s="7"/>
      <c r="F114" s="7"/>
    </row>
    <row r="115" customFormat="false" ht="12.75" hidden="false" customHeight="false" outlineLevel="0" collapsed="false">
      <c r="A115" s="7"/>
      <c r="B115" s="7"/>
      <c r="C115" s="7"/>
      <c r="D115" s="7"/>
      <c r="E115" s="7"/>
      <c r="F115" s="7"/>
    </row>
    <row r="116" customFormat="false" ht="12.75" hidden="false" customHeight="false" outlineLevel="0" collapsed="false">
      <c r="A116" s="7"/>
      <c r="B116" s="7"/>
      <c r="C116" s="7"/>
      <c r="D116" s="7"/>
      <c r="E116" s="7"/>
      <c r="F116" s="7"/>
    </row>
    <row r="117" customFormat="false" ht="12.75" hidden="false" customHeight="false" outlineLevel="0" collapsed="false">
      <c r="A117" s="7"/>
      <c r="B117" s="7"/>
      <c r="C117" s="7"/>
      <c r="D117" s="7"/>
      <c r="E117" s="7"/>
      <c r="F117" s="7"/>
    </row>
    <row r="118" customFormat="false" ht="12.75" hidden="false" customHeight="false" outlineLevel="0" collapsed="false">
      <c r="A118" s="7"/>
      <c r="B118" s="7"/>
      <c r="C118" s="7"/>
      <c r="D118" s="7"/>
      <c r="E118" s="7"/>
      <c r="F118" s="7"/>
    </row>
    <row r="119" customFormat="false" ht="12.75" hidden="false" customHeight="false" outlineLevel="0" collapsed="false">
      <c r="A119" s="7"/>
      <c r="B119" s="7"/>
      <c r="C119" s="7"/>
      <c r="D119" s="7"/>
      <c r="E119" s="7"/>
      <c r="F119" s="7"/>
    </row>
    <row r="120" customFormat="false" ht="12.75" hidden="false" customHeight="false" outlineLevel="0" collapsed="false">
      <c r="A120" s="7"/>
      <c r="B120" s="7"/>
      <c r="C120" s="7"/>
      <c r="D120" s="7"/>
      <c r="E120" s="7"/>
      <c r="F120" s="7"/>
    </row>
    <row r="121" customFormat="false" ht="12.75" hidden="false" customHeight="false" outlineLevel="0" collapsed="false">
      <c r="A121" s="7"/>
      <c r="B121" s="7"/>
      <c r="C121" s="7"/>
      <c r="D121" s="7"/>
      <c r="E121" s="7"/>
      <c r="F121" s="7"/>
    </row>
    <row r="122" customFormat="false" ht="12.75" hidden="false" customHeight="false" outlineLevel="0" collapsed="false">
      <c r="A122" s="7"/>
      <c r="B122" s="7"/>
      <c r="C122" s="7"/>
      <c r="D122" s="7"/>
      <c r="E122" s="7"/>
      <c r="F122" s="7"/>
    </row>
    <row r="123" customFormat="false" ht="12.75" hidden="false" customHeight="false" outlineLevel="0" collapsed="false">
      <c r="A123" s="7"/>
      <c r="B123" s="7"/>
      <c r="C123" s="7"/>
      <c r="D123" s="7"/>
      <c r="E123" s="7"/>
      <c r="F123" s="7"/>
    </row>
    <row r="124" customFormat="false" ht="12.75" hidden="false" customHeight="false" outlineLevel="0" collapsed="false">
      <c r="A124" s="7"/>
      <c r="B124" s="7"/>
      <c r="C124" s="7"/>
      <c r="D124" s="7"/>
      <c r="E124" s="7"/>
      <c r="F124" s="7"/>
    </row>
    <row r="125" customFormat="false" ht="12.75" hidden="false" customHeight="false" outlineLevel="0" collapsed="false">
      <c r="A125" s="7"/>
      <c r="B125" s="7"/>
      <c r="C125" s="7"/>
      <c r="D125" s="7"/>
      <c r="E125" s="7"/>
      <c r="F125" s="7"/>
    </row>
    <row r="126" customFormat="false" ht="12.75" hidden="false" customHeight="false" outlineLevel="0" collapsed="false">
      <c r="A126" s="7"/>
      <c r="B126" s="7"/>
      <c r="C126" s="7"/>
      <c r="D126" s="7"/>
      <c r="E126" s="7"/>
      <c r="F126" s="7"/>
    </row>
    <row r="127" customFormat="false" ht="12.75" hidden="false" customHeight="false" outlineLevel="0" collapsed="false">
      <c r="A127" s="7"/>
      <c r="B127" s="7"/>
      <c r="C127" s="7"/>
      <c r="D127" s="7"/>
      <c r="E127" s="7"/>
      <c r="F127" s="7"/>
    </row>
    <row r="128" customFormat="false" ht="12.75" hidden="false" customHeight="false" outlineLevel="0" collapsed="false">
      <c r="A128" s="7"/>
      <c r="B128" s="7"/>
      <c r="C128" s="7"/>
      <c r="D128" s="7"/>
      <c r="E128" s="7"/>
      <c r="F128" s="7"/>
    </row>
    <row r="129" customFormat="false" ht="12.75" hidden="false" customHeight="false" outlineLevel="0" collapsed="false">
      <c r="A129" s="7"/>
      <c r="B129" s="7"/>
      <c r="C129" s="7"/>
      <c r="D129" s="7"/>
      <c r="E129" s="7"/>
      <c r="F129" s="7"/>
    </row>
    <row r="130" customFormat="false" ht="12.75" hidden="false" customHeight="false" outlineLevel="0" collapsed="false">
      <c r="A130" s="7"/>
      <c r="B130" s="7"/>
      <c r="C130" s="7"/>
      <c r="D130" s="7"/>
      <c r="E130" s="7"/>
      <c r="F130" s="7"/>
    </row>
    <row r="131" customFormat="false" ht="12.75" hidden="false" customHeight="false" outlineLevel="0" collapsed="false">
      <c r="A131" s="7"/>
      <c r="B131" s="7"/>
      <c r="C131" s="7"/>
      <c r="D131" s="7"/>
      <c r="E131" s="7"/>
      <c r="F131" s="7"/>
    </row>
    <row r="132" customFormat="false" ht="12.75" hidden="false" customHeight="false" outlineLevel="0" collapsed="false">
      <c r="A132" s="7"/>
      <c r="B132" s="7"/>
      <c r="C132" s="7"/>
      <c r="D132" s="7"/>
      <c r="E132" s="7"/>
      <c r="F132" s="7"/>
    </row>
    <row r="133" customFormat="false" ht="12.75" hidden="false" customHeight="false" outlineLevel="0" collapsed="false">
      <c r="A133" s="7"/>
      <c r="B133" s="7"/>
      <c r="C133" s="7"/>
      <c r="D133" s="7"/>
      <c r="E133" s="7"/>
      <c r="F133" s="7"/>
    </row>
    <row r="134" customFormat="false" ht="12.75" hidden="false" customHeight="false" outlineLevel="0" collapsed="false">
      <c r="A134" s="7"/>
      <c r="B134" s="7"/>
      <c r="C134" s="7"/>
      <c r="D134" s="7"/>
      <c r="E134" s="7"/>
      <c r="F134" s="7"/>
    </row>
    <row r="135" customFormat="false" ht="12.75" hidden="false" customHeight="false" outlineLevel="0" collapsed="false">
      <c r="A135" s="7"/>
      <c r="B135" s="7"/>
      <c r="C135" s="7"/>
      <c r="D135" s="7"/>
      <c r="E135" s="7"/>
      <c r="F135" s="7"/>
    </row>
    <row r="136" customFormat="false" ht="12.75" hidden="false" customHeight="false" outlineLevel="0" collapsed="false">
      <c r="A136" s="7"/>
      <c r="B136" s="7"/>
      <c r="C136" s="7"/>
      <c r="D136" s="7"/>
      <c r="E136" s="7"/>
      <c r="F136" s="7"/>
    </row>
    <row r="137" customFormat="false" ht="12.75" hidden="false" customHeight="false" outlineLevel="0" collapsed="false">
      <c r="A137" s="7"/>
      <c r="B137" s="7"/>
      <c r="C137" s="7"/>
      <c r="D137" s="7"/>
      <c r="E137" s="7"/>
      <c r="F137" s="7"/>
    </row>
    <row r="138" customFormat="false" ht="12.75" hidden="false" customHeight="false" outlineLevel="0" collapsed="false">
      <c r="A138" s="7"/>
      <c r="B138" s="7"/>
      <c r="C138" s="7"/>
      <c r="D138" s="7"/>
      <c r="E138" s="7"/>
      <c r="F138" s="7"/>
    </row>
    <row r="139" customFormat="false" ht="12.75" hidden="false" customHeight="false" outlineLevel="0" collapsed="false">
      <c r="A139" s="7"/>
      <c r="B139" s="7"/>
      <c r="C139" s="7"/>
      <c r="D139" s="7"/>
      <c r="E139" s="7"/>
      <c r="F139" s="7"/>
    </row>
    <row r="140" customFormat="false" ht="12.75" hidden="false" customHeight="false" outlineLevel="0" collapsed="false">
      <c r="A140" s="7"/>
      <c r="B140" s="7"/>
      <c r="C140" s="7"/>
      <c r="D140" s="7"/>
      <c r="E140" s="7"/>
      <c r="F140" s="7"/>
    </row>
    <row r="141" customFormat="false" ht="12.75" hidden="false" customHeight="false" outlineLevel="0" collapsed="false">
      <c r="A141" s="7"/>
      <c r="B141" s="7"/>
      <c r="C141" s="7"/>
      <c r="D141" s="7"/>
      <c r="E141" s="7"/>
      <c r="F141" s="7"/>
    </row>
    <row r="142" customFormat="false" ht="12.75" hidden="false" customHeight="false" outlineLevel="0" collapsed="false">
      <c r="A142" s="7"/>
      <c r="B142" s="7"/>
      <c r="C142" s="7"/>
      <c r="D142" s="7"/>
      <c r="E142" s="7"/>
      <c r="F142" s="7"/>
    </row>
    <row r="143" customFormat="false" ht="12.75" hidden="false" customHeight="false" outlineLevel="0" collapsed="false">
      <c r="A143" s="7"/>
      <c r="B143" s="7"/>
      <c r="C143" s="7"/>
      <c r="D143" s="7"/>
      <c r="E143" s="7"/>
      <c r="F143" s="7"/>
    </row>
    <row r="144" customFormat="false" ht="12.75" hidden="false" customHeight="false" outlineLevel="0" collapsed="false">
      <c r="A144" s="7"/>
      <c r="B144" s="7"/>
      <c r="C144" s="7"/>
      <c r="D144" s="7"/>
      <c r="E144" s="7"/>
      <c r="F144" s="7"/>
    </row>
    <row r="145" customFormat="false" ht="12.75" hidden="false" customHeight="false" outlineLevel="0" collapsed="false">
      <c r="A145" s="7"/>
      <c r="B145" s="7"/>
      <c r="C145" s="7"/>
      <c r="D145" s="7"/>
      <c r="E145" s="7"/>
      <c r="F145" s="7"/>
    </row>
    <row r="146" customFormat="false" ht="12.75" hidden="false" customHeight="false" outlineLevel="0" collapsed="false">
      <c r="A146" s="7"/>
      <c r="B146" s="7"/>
      <c r="C146" s="7"/>
      <c r="D146" s="7"/>
      <c r="E146" s="7"/>
      <c r="F146" s="7"/>
    </row>
    <row r="147" customFormat="false" ht="12.75" hidden="false" customHeight="false" outlineLevel="0" collapsed="false">
      <c r="A147" s="7"/>
      <c r="B147" s="7"/>
      <c r="C147" s="7"/>
      <c r="D147" s="7"/>
      <c r="E147" s="7"/>
      <c r="F147" s="7"/>
    </row>
    <row r="148" customFormat="false" ht="12.75" hidden="false" customHeight="false" outlineLevel="0" collapsed="false">
      <c r="A148" s="7"/>
      <c r="B148" s="7"/>
      <c r="C148" s="7"/>
      <c r="D148" s="7"/>
      <c r="E148" s="7"/>
      <c r="F148" s="7"/>
    </row>
    <row r="149" customFormat="false" ht="12.75" hidden="false" customHeight="false" outlineLevel="0" collapsed="false">
      <c r="A149" s="7"/>
      <c r="B149" s="7"/>
      <c r="C149" s="7"/>
      <c r="D149" s="7"/>
      <c r="E149" s="7"/>
      <c r="F149" s="7"/>
    </row>
    <row r="150" customFormat="false" ht="12.75" hidden="false" customHeight="false" outlineLevel="0" collapsed="false">
      <c r="A150" s="7"/>
      <c r="B150" s="7"/>
      <c r="C150" s="7"/>
      <c r="D150" s="7"/>
      <c r="E150" s="7"/>
      <c r="F150" s="7"/>
    </row>
    <row r="151" customFormat="false" ht="12.75" hidden="false" customHeight="false" outlineLevel="0" collapsed="false">
      <c r="A151" s="7"/>
      <c r="B151" s="7"/>
      <c r="C151" s="7"/>
      <c r="D151" s="7"/>
      <c r="E151" s="7"/>
      <c r="F151" s="7"/>
    </row>
    <row r="152" customFormat="false" ht="12.75" hidden="false" customHeight="false" outlineLevel="0" collapsed="false">
      <c r="A152" s="7"/>
      <c r="B152" s="7"/>
      <c r="C152" s="7"/>
      <c r="D152" s="7"/>
      <c r="E152" s="7"/>
      <c r="F152" s="7"/>
    </row>
    <row r="153" customFormat="false" ht="12.75" hidden="false" customHeight="false" outlineLevel="0" collapsed="false">
      <c r="A153" s="7"/>
      <c r="B153" s="7"/>
      <c r="C153" s="7"/>
      <c r="D153" s="7"/>
      <c r="E153" s="7"/>
      <c r="F153" s="7"/>
    </row>
    <row r="154" customFormat="false" ht="12.75" hidden="false" customHeight="false" outlineLevel="0" collapsed="false">
      <c r="A154" s="7"/>
      <c r="B154" s="7"/>
      <c r="C154" s="7"/>
      <c r="D154" s="7"/>
      <c r="E154" s="7"/>
      <c r="F154" s="7"/>
    </row>
    <row r="155" customFormat="false" ht="12.75" hidden="false" customHeight="false" outlineLevel="0" collapsed="false">
      <c r="A155" s="7"/>
      <c r="B155" s="7"/>
      <c r="C155" s="7"/>
      <c r="D155" s="7"/>
      <c r="E155" s="7"/>
      <c r="F155" s="7"/>
    </row>
    <row r="156" customFormat="false" ht="12.75" hidden="false" customHeight="false" outlineLevel="0" collapsed="false">
      <c r="A156" s="7"/>
      <c r="B156" s="7"/>
      <c r="C156" s="7"/>
      <c r="D156" s="7"/>
      <c r="E156" s="7"/>
      <c r="F156" s="7"/>
    </row>
    <row r="157" customFormat="false" ht="12.75" hidden="false" customHeight="false" outlineLevel="0" collapsed="false">
      <c r="A157" s="7"/>
      <c r="B157" s="7"/>
      <c r="C157" s="7"/>
      <c r="D157" s="7"/>
      <c r="E157" s="7"/>
      <c r="F157" s="7"/>
    </row>
    <row r="158" customFormat="false" ht="12.75" hidden="false" customHeight="false" outlineLevel="0" collapsed="false">
      <c r="A158" s="7"/>
      <c r="B158" s="7"/>
      <c r="C158" s="7"/>
      <c r="D158" s="7"/>
      <c r="E158" s="7"/>
      <c r="F158" s="7"/>
    </row>
    <row r="159" customFormat="false" ht="12.75" hidden="false" customHeight="false" outlineLevel="0" collapsed="false">
      <c r="A159" s="7"/>
      <c r="B159" s="7"/>
      <c r="C159" s="7"/>
      <c r="D159" s="7"/>
      <c r="E159" s="7"/>
      <c r="F159" s="7"/>
    </row>
    <row r="160" customFormat="false" ht="12.75" hidden="false" customHeight="false" outlineLevel="0" collapsed="false">
      <c r="A160" s="7"/>
      <c r="B160" s="7"/>
      <c r="C160" s="7"/>
      <c r="D160" s="7"/>
      <c r="E160" s="7"/>
      <c r="F160" s="7"/>
    </row>
    <row r="161" customFormat="false" ht="12.75" hidden="false" customHeight="false" outlineLevel="0" collapsed="false">
      <c r="A161" s="7"/>
      <c r="B161" s="7"/>
      <c r="C161" s="7"/>
      <c r="D161" s="7"/>
      <c r="E161" s="7"/>
      <c r="F161" s="7"/>
    </row>
    <row r="162" customFormat="false" ht="12.75" hidden="false" customHeight="false" outlineLevel="0" collapsed="false">
      <c r="A162" s="7"/>
      <c r="B162" s="7"/>
      <c r="C162" s="7"/>
      <c r="D162" s="7"/>
      <c r="E162" s="7"/>
      <c r="F162" s="7"/>
    </row>
    <row r="163" customFormat="false" ht="12.75" hidden="false" customHeight="false" outlineLevel="0" collapsed="false">
      <c r="A163" s="7"/>
      <c r="B163" s="7"/>
      <c r="C163" s="7"/>
      <c r="D163" s="7"/>
      <c r="E163" s="7"/>
      <c r="F163" s="7"/>
    </row>
    <row r="164" customFormat="false" ht="12.75" hidden="false" customHeight="false" outlineLevel="0" collapsed="false">
      <c r="A164" s="7"/>
      <c r="B164" s="7"/>
      <c r="C164" s="7"/>
      <c r="D164" s="7"/>
      <c r="E164" s="7"/>
      <c r="F164" s="7"/>
    </row>
    <row r="165" customFormat="false" ht="12.75" hidden="false" customHeight="false" outlineLevel="0" collapsed="false">
      <c r="A165" s="7"/>
      <c r="B165" s="7"/>
      <c r="C165" s="7"/>
      <c r="D165" s="7"/>
      <c r="E165" s="7"/>
      <c r="F165" s="7"/>
    </row>
    <row r="166" customFormat="false" ht="12.75" hidden="false" customHeight="false" outlineLevel="0" collapsed="false">
      <c r="A166" s="7"/>
      <c r="B166" s="7"/>
      <c r="C166" s="7"/>
      <c r="D166" s="7"/>
      <c r="E166" s="7"/>
      <c r="F166" s="7"/>
    </row>
    <row r="167" customFormat="false" ht="12.75" hidden="false" customHeight="false" outlineLevel="0" collapsed="false">
      <c r="A167" s="7"/>
      <c r="B167" s="7"/>
      <c r="C167" s="7"/>
      <c r="D167" s="7"/>
      <c r="E167" s="7"/>
      <c r="F167" s="7"/>
    </row>
    <row r="168" customFormat="false" ht="12.75" hidden="false" customHeight="false" outlineLevel="0" collapsed="false">
      <c r="A168" s="7"/>
      <c r="B168" s="7"/>
      <c r="C168" s="7"/>
      <c r="D168" s="7"/>
      <c r="E168" s="7"/>
      <c r="F168" s="7"/>
    </row>
    <row r="169" customFormat="false" ht="12.75" hidden="false" customHeight="false" outlineLevel="0" collapsed="false">
      <c r="A169" s="7"/>
      <c r="B169" s="7"/>
      <c r="C169" s="7"/>
      <c r="D169" s="7"/>
      <c r="E169" s="7"/>
      <c r="F169" s="7"/>
    </row>
    <row r="170" customFormat="false" ht="12.75" hidden="false" customHeight="false" outlineLevel="0" collapsed="false">
      <c r="A170" s="7"/>
      <c r="B170" s="7"/>
      <c r="C170" s="7"/>
      <c r="D170" s="7"/>
      <c r="E170" s="7"/>
      <c r="F170" s="7"/>
    </row>
    <row r="171" customFormat="false" ht="12.75" hidden="false" customHeight="false" outlineLevel="0" collapsed="false">
      <c r="A171" s="7"/>
      <c r="B171" s="7"/>
      <c r="C171" s="7"/>
      <c r="D171" s="7"/>
      <c r="E171" s="7"/>
      <c r="F171" s="7"/>
    </row>
    <row r="172" customFormat="false" ht="12.75" hidden="false" customHeight="false" outlineLevel="0" collapsed="false">
      <c r="A172" s="7"/>
      <c r="B172" s="7"/>
      <c r="C172" s="7"/>
      <c r="D172" s="7"/>
      <c r="E172" s="7"/>
      <c r="F172" s="7"/>
    </row>
    <row r="173" customFormat="false" ht="12.75" hidden="false" customHeight="false" outlineLevel="0" collapsed="false">
      <c r="A173" s="7"/>
      <c r="B173" s="7"/>
      <c r="C173" s="7"/>
      <c r="D173" s="7"/>
      <c r="E173" s="7"/>
      <c r="F173" s="7"/>
    </row>
    <row r="174" customFormat="false" ht="12.75" hidden="false" customHeight="false" outlineLevel="0" collapsed="false">
      <c r="A174" s="7"/>
      <c r="B174" s="7"/>
      <c r="C174" s="7"/>
      <c r="D174" s="7"/>
      <c r="E174" s="7"/>
      <c r="F174" s="7"/>
    </row>
    <row r="175" customFormat="false" ht="12.75" hidden="false" customHeight="false" outlineLevel="0" collapsed="false">
      <c r="A175" s="7"/>
      <c r="B175" s="7"/>
      <c r="C175" s="7"/>
      <c r="D175" s="7"/>
      <c r="E175" s="7"/>
      <c r="F175" s="7"/>
    </row>
    <row r="176" customFormat="false" ht="12.75" hidden="false" customHeight="false" outlineLevel="0" collapsed="false">
      <c r="A176" s="7"/>
      <c r="B176" s="7"/>
      <c r="C176" s="7"/>
      <c r="D176" s="7"/>
      <c r="E176" s="7"/>
      <c r="F176" s="7"/>
    </row>
    <row r="177" customFormat="false" ht="12.75" hidden="false" customHeight="false" outlineLevel="0" collapsed="false">
      <c r="A177" s="7"/>
      <c r="B177" s="7"/>
      <c r="C177" s="7"/>
      <c r="D177" s="7"/>
      <c r="E177" s="7"/>
      <c r="F177" s="7"/>
    </row>
    <row r="178" customFormat="false" ht="12.75" hidden="false" customHeight="false" outlineLevel="0" collapsed="false">
      <c r="A178" s="7"/>
      <c r="B178" s="7"/>
      <c r="C178" s="7"/>
      <c r="D178" s="7"/>
      <c r="E178" s="7"/>
      <c r="F178" s="7"/>
    </row>
    <row r="179" customFormat="false" ht="12.75" hidden="false" customHeight="false" outlineLevel="0" collapsed="false">
      <c r="A179" s="7"/>
      <c r="B179" s="7"/>
      <c r="C179" s="7"/>
      <c r="D179" s="7"/>
      <c r="E179" s="7"/>
      <c r="F179" s="7"/>
    </row>
    <row r="180" customFormat="false" ht="12.75" hidden="false" customHeight="false" outlineLevel="0" collapsed="false">
      <c r="A180" s="7"/>
      <c r="B180" s="7"/>
      <c r="C180" s="7"/>
      <c r="D180" s="7"/>
      <c r="E180" s="7"/>
      <c r="F180" s="7"/>
    </row>
    <row r="181" customFormat="false" ht="12.75" hidden="false" customHeight="false" outlineLevel="0" collapsed="false">
      <c r="A181" s="7"/>
      <c r="B181" s="7"/>
      <c r="C181" s="7"/>
      <c r="D181" s="7"/>
      <c r="E181" s="7"/>
      <c r="F181" s="7"/>
    </row>
    <row r="182" customFormat="false" ht="12.75" hidden="false" customHeight="false" outlineLevel="0" collapsed="false">
      <c r="A182" s="7"/>
      <c r="B182" s="7"/>
      <c r="C182" s="7"/>
      <c r="D182" s="7"/>
      <c r="E182" s="7"/>
      <c r="F182" s="7"/>
    </row>
    <row r="183" customFormat="false" ht="12.75" hidden="false" customHeight="false" outlineLevel="0" collapsed="false">
      <c r="A183" s="7"/>
      <c r="B183" s="7"/>
      <c r="C183" s="7"/>
      <c r="D183" s="7"/>
      <c r="E183" s="7"/>
      <c r="F183" s="7"/>
    </row>
    <row r="184" customFormat="false" ht="12.75" hidden="false" customHeight="false" outlineLevel="0" collapsed="false">
      <c r="A184" s="7"/>
      <c r="B184" s="7"/>
      <c r="C184" s="7"/>
      <c r="D184" s="7"/>
      <c r="E184" s="7"/>
      <c r="F184" s="7"/>
    </row>
    <row r="185" customFormat="false" ht="12.75" hidden="false" customHeight="false" outlineLevel="0" collapsed="false">
      <c r="A185" s="7"/>
      <c r="B185" s="7"/>
      <c r="C185" s="7"/>
      <c r="D185" s="7"/>
      <c r="E185" s="7"/>
      <c r="F185" s="7"/>
    </row>
    <row r="186" customFormat="false" ht="12.75" hidden="false" customHeight="false" outlineLevel="0" collapsed="false">
      <c r="A186" s="7"/>
      <c r="B186" s="7"/>
      <c r="C186" s="7"/>
      <c r="D186" s="7"/>
      <c r="E186" s="7"/>
      <c r="F186" s="7"/>
    </row>
    <row r="187" customFormat="false" ht="12.75" hidden="false" customHeight="false" outlineLevel="0" collapsed="false">
      <c r="A187" s="7"/>
      <c r="B187" s="7"/>
      <c r="C187" s="7"/>
      <c r="D187" s="7"/>
      <c r="E187" s="7"/>
      <c r="F187" s="7"/>
    </row>
    <row r="188" customFormat="false" ht="12.75" hidden="false" customHeight="false" outlineLevel="0" collapsed="false">
      <c r="A188" s="7"/>
      <c r="B188" s="7"/>
      <c r="C188" s="7"/>
      <c r="D188" s="7"/>
      <c r="E188" s="7"/>
      <c r="F188" s="7"/>
    </row>
    <row r="189" customFormat="false" ht="12.75" hidden="false" customHeight="false" outlineLevel="0" collapsed="false">
      <c r="A189" s="7"/>
      <c r="B189" s="7"/>
      <c r="C189" s="7"/>
      <c r="D189" s="7"/>
      <c r="E189" s="7"/>
      <c r="F189" s="7"/>
    </row>
    <row r="190" customFormat="false" ht="12.75" hidden="false" customHeight="false" outlineLevel="0" collapsed="false">
      <c r="A190" s="7"/>
      <c r="B190" s="7"/>
      <c r="C190" s="7"/>
      <c r="D190" s="7"/>
      <c r="E190" s="7"/>
      <c r="F190" s="7"/>
    </row>
    <row r="191" customFormat="false" ht="12.75" hidden="false" customHeight="false" outlineLevel="0" collapsed="false">
      <c r="A191" s="7"/>
      <c r="B191" s="7"/>
      <c r="C191" s="7"/>
      <c r="D191" s="7"/>
      <c r="E191" s="7"/>
      <c r="F191" s="7"/>
    </row>
    <row r="192" customFormat="false" ht="12.75" hidden="false" customHeight="false" outlineLevel="0" collapsed="false">
      <c r="A192" s="7"/>
      <c r="B192" s="7"/>
      <c r="C192" s="7"/>
      <c r="D192" s="7"/>
      <c r="E192" s="7"/>
      <c r="F192" s="7"/>
    </row>
    <row r="193" customFormat="false" ht="12.75" hidden="false" customHeight="false" outlineLevel="0" collapsed="false">
      <c r="A193" s="7"/>
      <c r="B193" s="7"/>
      <c r="C193" s="7"/>
      <c r="D193" s="7"/>
      <c r="E193" s="7"/>
      <c r="F193" s="7"/>
    </row>
    <row r="194" customFormat="false" ht="12.75" hidden="false" customHeight="false" outlineLevel="0" collapsed="false">
      <c r="A194" s="7"/>
      <c r="B194" s="7"/>
      <c r="C194" s="7"/>
      <c r="D194" s="7"/>
      <c r="E194" s="7"/>
      <c r="F194" s="7"/>
    </row>
    <row r="195" customFormat="false" ht="12.75" hidden="false" customHeight="false" outlineLevel="0" collapsed="false">
      <c r="A195" s="7"/>
      <c r="B195" s="7"/>
      <c r="C195" s="7"/>
      <c r="D195" s="7"/>
      <c r="E195" s="7"/>
      <c r="F195" s="7"/>
    </row>
    <row r="196" customFormat="false" ht="12.75" hidden="false" customHeight="false" outlineLevel="0" collapsed="false">
      <c r="A196" s="7"/>
      <c r="B196" s="7"/>
      <c r="C196" s="7"/>
      <c r="D196" s="7"/>
      <c r="E196" s="7"/>
      <c r="F196" s="7"/>
    </row>
    <row r="197" customFormat="false" ht="12.75" hidden="false" customHeight="false" outlineLevel="0" collapsed="false">
      <c r="A197" s="7"/>
      <c r="B197" s="7"/>
      <c r="C197" s="7"/>
      <c r="D197" s="7"/>
      <c r="E197" s="7"/>
      <c r="F197" s="7"/>
    </row>
    <row r="198" customFormat="false" ht="12.75" hidden="false" customHeight="false" outlineLevel="0" collapsed="false">
      <c r="A198" s="7"/>
      <c r="B198" s="7"/>
      <c r="C198" s="7"/>
      <c r="D198" s="7"/>
      <c r="E198" s="7"/>
      <c r="F198" s="7"/>
    </row>
    <row r="199" customFormat="false" ht="12.75" hidden="false" customHeight="false" outlineLevel="0" collapsed="false">
      <c r="A199" s="7"/>
      <c r="B199" s="7"/>
      <c r="C199" s="7"/>
      <c r="D199" s="7"/>
      <c r="E199" s="7"/>
      <c r="F199" s="7"/>
    </row>
    <row r="200" customFormat="false" ht="12.75" hidden="false" customHeight="false" outlineLevel="0" collapsed="false">
      <c r="A200" s="7"/>
      <c r="B200" s="7"/>
      <c r="C200" s="7"/>
      <c r="D200" s="7"/>
      <c r="E200" s="7"/>
      <c r="F200" s="7"/>
    </row>
    <row r="201" customFormat="false" ht="12.75" hidden="false" customHeight="false" outlineLevel="0" collapsed="false">
      <c r="A201" s="7"/>
      <c r="B201" s="7"/>
      <c r="C201" s="7"/>
      <c r="D201" s="7"/>
      <c r="E201" s="7"/>
      <c r="F201" s="7"/>
    </row>
    <row r="202" customFormat="false" ht="12.75" hidden="false" customHeight="false" outlineLevel="0" collapsed="false">
      <c r="A202" s="7"/>
      <c r="B202" s="7"/>
      <c r="C202" s="7"/>
      <c r="D202" s="7"/>
      <c r="E202" s="7"/>
      <c r="F202" s="7"/>
    </row>
    <row r="203" customFormat="false" ht="12.75" hidden="false" customHeight="false" outlineLevel="0" collapsed="false">
      <c r="A203" s="7"/>
      <c r="B203" s="7"/>
      <c r="C203" s="7"/>
      <c r="D203" s="7"/>
      <c r="E203" s="7"/>
      <c r="F203" s="7"/>
    </row>
    <row r="204" customFormat="false" ht="12.75" hidden="false" customHeight="false" outlineLevel="0" collapsed="false">
      <c r="A204" s="7"/>
      <c r="B204" s="7"/>
      <c r="C204" s="7"/>
      <c r="D204" s="7"/>
      <c r="E204" s="7"/>
      <c r="F204" s="7"/>
    </row>
    <row r="205" customFormat="false" ht="12.75" hidden="false" customHeight="false" outlineLevel="0" collapsed="false">
      <c r="A205" s="7"/>
      <c r="B205" s="7"/>
      <c r="C205" s="7"/>
      <c r="D205" s="7"/>
      <c r="E205" s="7"/>
      <c r="F205" s="7"/>
    </row>
    <row r="206" customFormat="false" ht="12.75" hidden="false" customHeight="false" outlineLevel="0" collapsed="false">
      <c r="A206" s="7"/>
      <c r="B206" s="7"/>
      <c r="C206" s="7"/>
      <c r="D206" s="7"/>
      <c r="E206" s="7"/>
      <c r="F206" s="7"/>
    </row>
    <row r="207" customFormat="false" ht="12.75" hidden="false" customHeight="false" outlineLevel="0" collapsed="false">
      <c r="A207" s="7"/>
      <c r="B207" s="7"/>
      <c r="C207" s="7"/>
      <c r="D207" s="7"/>
      <c r="E207" s="7"/>
      <c r="F207" s="7"/>
    </row>
    <row r="208" customFormat="false" ht="12.75" hidden="false" customHeight="false" outlineLevel="0" collapsed="false">
      <c r="A208" s="7"/>
      <c r="B208" s="7"/>
      <c r="C208" s="7"/>
      <c r="D208" s="7"/>
      <c r="E208" s="7"/>
      <c r="F208" s="7"/>
    </row>
    <row r="209" customFormat="false" ht="12.75" hidden="false" customHeight="false" outlineLevel="0" collapsed="false">
      <c r="A209" s="7"/>
      <c r="B209" s="7"/>
      <c r="C209" s="7"/>
      <c r="D209" s="7"/>
      <c r="E209" s="7"/>
      <c r="F209" s="7"/>
    </row>
    <row r="210" customFormat="false" ht="12.75" hidden="false" customHeight="false" outlineLevel="0" collapsed="false">
      <c r="A210" s="7"/>
      <c r="B210" s="7"/>
      <c r="C210" s="7"/>
      <c r="D210" s="7"/>
      <c r="E210" s="7"/>
      <c r="F210" s="7"/>
    </row>
    <row r="211" customFormat="false" ht="12.75" hidden="false" customHeight="false" outlineLevel="0" collapsed="false">
      <c r="A211" s="7"/>
      <c r="B211" s="7"/>
      <c r="C211" s="7"/>
      <c r="D211" s="7"/>
      <c r="E211" s="7"/>
      <c r="F211" s="7"/>
    </row>
    <row r="212" customFormat="false" ht="12.75" hidden="false" customHeight="false" outlineLevel="0" collapsed="false">
      <c r="A212" s="7"/>
      <c r="B212" s="7"/>
      <c r="C212" s="7"/>
      <c r="D212" s="7"/>
      <c r="E212" s="7"/>
      <c r="F212" s="7"/>
    </row>
    <row r="213" customFormat="false" ht="12.75" hidden="false" customHeight="false" outlineLevel="0" collapsed="false">
      <c r="A213" s="7"/>
      <c r="B213" s="7"/>
      <c r="C213" s="7"/>
      <c r="D213" s="7"/>
      <c r="E213" s="7"/>
      <c r="F213" s="7"/>
    </row>
    <row r="214" customFormat="false" ht="12.75" hidden="false" customHeight="false" outlineLevel="0" collapsed="false">
      <c r="A214" s="7"/>
      <c r="B214" s="7"/>
      <c r="C214" s="7"/>
      <c r="D214" s="7"/>
      <c r="E214" s="7"/>
      <c r="F214" s="7"/>
    </row>
    <row r="215" customFormat="false" ht="12.75" hidden="false" customHeight="false" outlineLevel="0" collapsed="false">
      <c r="A215" s="7"/>
      <c r="B215" s="7"/>
      <c r="C215" s="7"/>
      <c r="D215" s="7"/>
      <c r="E215" s="7"/>
      <c r="F215" s="7"/>
    </row>
    <row r="216" customFormat="false" ht="12.75" hidden="false" customHeight="false" outlineLevel="0" collapsed="false">
      <c r="A216" s="7"/>
      <c r="B216" s="7"/>
      <c r="C216" s="7"/>
      <c r="D216" s="7"/>
      <c r="E216" s="7"/>
      <c r="F216" s="7"/>
    </row>
    <row r="217" customFormat="false" ht="12.75" hidden="false" customHeight="false" outlineLevel="0" collapsed="false">
      <c r="A217" s="7"/>
      <c r="B217" s="7"/>
      <c r="C217" s="7"/>
      <c r="D217" s="7"/>
      <c r="E217" s="7"/>
      <c r="F217" s="7"/>
    </row>
    <row r="218" customFormat="false" ht="12.75" hidden="false" customHeight="false" outlineLevel="0" collapsed="false">
      <c r="A218" s="7"/>
      <c r="B218" s="7"/>
      <c r="C218" s="7"/>
      <c r="D218" s="7"/>
      <c r="E218" s="7"/>
      <c r="F218" s="7"/>
    </row>
    <row r="219" customFormat="false" ht="12.75" hidden="false" customHeight="false" outlineLevel="0" collapsed="false">
      <c r="A219" s="7"/>
      <c r="B219" s="7"/>
      <c r="C219" s="7"/>
      <c r="D219" s="7"/>
      <c r="E219" s="7"/>
      <c r="F219" s="7"/>
    </row>
    <row r="220" customFormat="false" ht="12.75" hidden="false" customHeight="false" outlineLevel="0" collapsed="false">
      <c r="A220" s="7"/>
      <c r="B220" s="7"/>
      <c r="C220" s="7"/>
      <c r="D220" s="7"/>
      <c r="E220" s="7"/>
      <c r="F220" s="7"/>
    </row>
    <row r="221" customFormat="false" ht="12.75" hidden="false" customHeight="false" outlineLevel="0" collapsed="false">
      <c r="A221" s="7"/>
      <c r="B221" s="7"/>
      <c r="C221" s="7"/>
      <c r="D221" s="7"/>
      <c r="E221" s="7"/>
      <c r="F221" s="7"/>
    </row>
    <row r="222" customFormat="false" ht="12.75" hidden="false" customHeight="false" outlineLevel="0" collapsed="false">
      <c r="A222" s="7"/>
      <c r="B222" s="7"/>
      <c r="C222" s="7"/>
      <c r="D222" s="7"/>
      <c r="E222" s="7"/>
      <c r="F222" s="7"/>
    </row>
    <row r="223" customFormat="false" ht="12.75" hidden="false" customHeight="false" outlineLevel="0" collapsed="false">
      <c r="A223" s="7"/>
      <c r="B223" s="7"/>
      <c r="C223" s="7"/>
      <c r="D223" s="7"/>
      <c r="E223" s="7"/>
      <c r="F223" s="7"/>
    </row>
    <row r="224" customFormat="false" ht="12.75" hidden="false" customHeight="false" outlineLevel="0" collapsed="false">
      <c r="A224" s="7"/>
      <c r="B224" s="7"/>
      <c r="C224" s="7"/>
      <c r="D224" s="7"/>
      <c r="E224" s="7"/>
      <c r="F224" s="7"/>
    </row>
    <row r="225" customFormat="false" ht="12.75" hidden="false" customHeight="false" outlineLevel="0" collapsed="false">
      <c r="A225" s="7"/>
      <c r="B225" s="7"/>
      <c r="C225" s="7"/>
      <c r="D225" s="7"/>
      <c r="E225" s="7"/>
      <c r="F225" s="7"/>
    </row>
    <row r="226" customFormat="false" ht="12.75" hidden="false" customHeight="false" outlineLevel="0" collapsed="false">
      <c r="A226" s="7"/>
      <c r="B226" s="7"/>
      <c r="C226" s="7"/>
      <c r="D226" s="7"/>
      <c r="E226" s="7"/>
      <c r="F226" s="7"/>
    </row>
    <row r="227" customFormat="false" ht="12.75" hidden="false" customHeight="false" outlineLevel="0" collapsed="false">
      <c r="A227" s="7"/>
      <c r="B227" s="7"/>
      <c r="C227" s="7"/>
      <c r="D227" s="7"/>
      <c r="E227" s="7"/>
      <c r="F227" s="7"/>
    </row>
    <row r="228" customFormat="false" ht="12.75" hidden="false" customHeight="false" outlineLevel="0" collapsed="false">
      <c r="A228" s="7"/>
      <c r="B228" s="7"/>
      <c r="C228" s="7"/>
      <c r="D228" s="7"/>
      <c r="E228" s="7"/>
      <c r="F228" s="7"/>
    </row>
    <row r="229" customFormat="false" ht="12.75" hidden="false" customHeight="false" outlineLevel="0" collapsed="false">
      <c r="A229" s="7"/>
      <c r="B229" s="7"/>
      <c r="C229" s="7"/>
      <c r="D229" s="7"/>
      <c r="E229" s="7"/>
      <c r="F229" s="7"/>
    </row>
    <row r="230" customFormat="false" ht="12.75" hidden="false" customHeight="false" outlineLevel="0" collapsed="false">
      <c r="A230" s="7"/>
      <c r="B230" s="7"/>
      <c r="C230" s="7"/>
      <c r="D230" s="7"/>
      <c r="E230" s="7"/>
      <c r="F230" s="7"/>
    </row>
    <row r="231" customFormat="false" ht="12.75" hidden="false" customHeight="false" outlineLevel="0" collapsed="false">
      <c r="A231" s="7"/>
      <c r="B231" s="7"/>
      <c r="C231" s="7"/>
      <c r="D231" s="7"/>
      <c r="E231" s="7"/>
      <c r="F231" s="7"/>
    </row>
    <row r="232" customFormat="false" ht="12.75" hidden="false" customHeight="false" outlineLevel="0" collapsed="false">
      <c r="A232" s="7"/>
      <c r="B232" s="7"/>
      <c r="C232" s="7"/>
      <c r="D232" s="7"/>
      <c r="E232" s="7"/>
      <c r="F232" s="7"/>
    </row>
    <row r="233" customFormat="false" ht="12.75" hidden="false" customHeight="false" outlineLevel="0" collapsed="false">
      <c r="A233" s="7"/>
      <c r="B233" s="7"/>
      <c r="C233" s="7"/>
      <c r="D233" s="7"/>
      <c r="E233" s="7"/>
      <c r="F233" s="7"/>
    </row>
    <row r="234" customFormat="false" ht="12.75" hidden="false" customHeight="false" outlineLevel="0" collapsed="false">
      <c r="A234" s="7"/>
      <c r="B234" s="7"/>
      <c r="C234" s="7"/>
      <c r="D234" s="7"/>
      <c r="E234" s="7"/>
      <c r="F234" s="7"/>
    </row>
    <row r="235" customFormat="false" ht="12.75" hidden="false" customHeight="false" outlineLevel="0" collapsed="false">
      <c r="A235" s="7"/>
      <c r="B235" s="7"/>
      <c r="C235" s="7"/>
      <c r="D235" s="7"/>
      <c r="E235" s="7"/>
      <c r="F235" s="7"/>
    </row>
    <row r="236" customFormat="false" ht="12.75" hidden="false" customHeight="false" outlineLevel="0" collapsed="false">
      <c r="A236" s="7"/>
      <c r="B236" s="7"/>
      <c r="C236" s="7"/>
      <c r="D236" s="7"/>
      <c r="E236" s="7"/>
      <c r="F236" s="7"/>
    </row>
    <row r="237" customFormat="false" ht="12.75" hidden="false" customHeight="false" outlineLevel="0" collapsed="false">
      <c r="A237" s="7"/>
      <c r="B237" s="7"/>
      <c r="C237" s="7"/>
      <c r="D237" s="7"/>
      <c r="E237" s="7"/>
      <c r="F237" s="7"/>
    </row>
    <row r="238" customFormat="false" ht="12.75" hidden="false" customHeight="false" outlineLevel="0" collapsed="false">
      <c r="A238" s="7"/>
      <c r="B238" s="7"/>
      <c r="C238" s="7"/>
      <c r="D238" s="7"/>
      <c r="E238" s="7"/>
      <c r="F238" s="7"/>
    </row>
    <row r="239" customFormat="false" ht="12.75" hidden="false" customHeight="false" outlineLevel="0" collapsed="false">
      <c r="A239" s="7"/>
      <c r="B239" s="7"/>
      <c r="C239" s="7"/>
      <c r="D239" s="7"/>
      <c r="E239" s="7"/>
      <c r="F239" s="7"/>
    </row>
    <row r="240" customFormat="false" ht="12.75" hidden="false" customHeight="false" outlineLevel="0" collapsed="false">
      <c r="A240" s="7"/>
      <c r="B240" s="7"/>
      <c r="C240" s="7"/>
      <c r="D240" s="7"/>
      <c r="E240" s="7"/>
      <c r="F240" s="7"/>
    </row>
    <row r="241" customFormat="false" ht="12.75" hidden="false" customHeight="false" outlineLevel="0" collapsed="false">
      <c r="A241" s="7"/>
      <c r="B241" s="7"/>
      <c r="C241" s="7"/>
      <c r="D241" s="7"/>
      <c r="E241" s="7"/>
      <c r="F241" s="7"/>
    </row>
    <row r="242" customFormat="false" ht="12.75" hidden="false" customHeight="false" outlineLevel="0" collapsed="false">
      <c r="A242" s="7"/>
      <c r="B242" s="7"/>
      <c r="C242" s="7"/>
      <c r="D242" s="7"/>
      <c r="E242" s="7"/>
      <c r="F242" s="7"/>
    </row>
    <row r="243" customFormat="false" ht="12.75" hidden="false" customHeight="false" outlineLevel="0" collapsed="false">
      <c r="A243" s="7"/>
      <c r="B243" s="7"/>
      <c r="C243" s="7"/>
      <c r="D243" s="7"/>
      <c r="E243" s="7"/>
      <c r="F243" s="7"/>
    </row>
    <row r="244" customFormat="false" ht="12.75" hidden="false" customHeight="false" outlineLevel="0" collapsed="false">
      <c r="A244" s="7"/>
      <c r="B244" s="7"/>
      <c r="C244" s="7"/>
      <c r="D244" s="7"/>
      <c r="E244" s="7"/>
      <c r="F244" s="7"/>
    </row>
    <row r="245" customFormat="false" ht="12.75" hidden="false" customHeight="false" outlineLevel="0" collapsed="false">
      <c r="A245" s="7"/>
      <c r="B245" s="7"/>
      <c r="C245" s="7"/>
      <c r="D245" s="7"/>
      <c r="E245" s="7"/>
      <c r="F245" s="7"/>
    </row>
    <row r="246" customFormat="false" ht="12.75" hidden="false" customHeight="false" outlineLevel="0" collapsed="false">
      <c r="A246" s="7"/>
      <c r="B246" s="7"/>
      <c r="C246" s="7"/>
      <c r="D246" s="7"/>
      <c r="E246" s="7"/>
      <c r="F246" s="7"/>
    </row>
    <row r="247" customFormat="false" ht="12.75" hidden="false" customHeight="false" outlineLevel="0" collapsed="false">
      <c r="A247" s="7"/>
      <c r="B247" s="7"/>
      <c r="C247" s="7"/>
      <c r="D247" s="7"/>
      <c r="E247" s="7"/>
      <c r="F247" s="7"/>
    </row>
    <row r="248" customFormat="false" ht="12.75" hidden="false" customHeight="false" outlineLevel="0" collapsed="false">
      <c r="A248" s="7"/>
      <c r="B248" s="7"/>
      <c r="C248" s="7"/>
      <c r="D248" s="7"/>
      <c r="E248" s="7"/>
      <c r="F248" s="7"/>
    </row>
    <row r="249" customFormat="false" ht="12.75" hidden="false" customHeight="false" outlineLevel="0" collapsed="false">
      <c r="A249" s="7"/>
      <c r="B249" s="7"/>
      <c r="C249" s="7"/>
      <c r="D249" s="7"/>
      <c r="E249" s="7"/>
      <c r="F249" s="7"/>
    </row>
    <row r="250" customFormat="false" ht="12.75" hidden="false" customHeight="false" outlineLevel="0" collapsed="false">
      <c r="A250" s="7"/>
      <c r="B250" s="7"/>
      <c r="C250" s="7"/>
      <c r="D250" s="7"/>
      <c r="E250" s="7"/>
      <c r="F250" s="7"/>
    </row>
    <row r="251" customFormat="false" ht="12.75" hidden="false" customHeight="false" outlineLevel="0" collapsed="false">
      <c r="A251" s="7"/>
      <c r="B251" s="7"/>
      <c r="C251" s="7"/>
      <c r="D251" s="7"/>
      <c r="E251" s="7"/>
      <c r="F251" s="7"/>
    </row>
    <row r="252" customFormat="false" ht="12.75" hidden="false" customHeight="false" outlineLevel="0" collapsed="false">
      <c r="A252" s="7"/>
      <c r="B252" s="7"/>
      <c r="C252" s="7"/>
      <c r="D252" s="7"/>
      <c r="E252" s="7"/>
      <c r="F252" s="7"/>
    </row>
    <row r="253" customFormat="false" ht="12.75" hidden="false" customHeight="false" outlineLevel="0" collapsed="false">
      <c r="A253" s="7"/>
      <c r="B253" s="7"/>
      <c r="C253" s="7"/>
      <c r="D253" s="7"/>
      <c r="E253" s="7"/>
      <c r="F253" s="7"/>
    </row>
    <row r="254" customFormat="false" ht="12.75" hidden="false" customHeight="false" outlineLevel="0" collapsed="false">
      <c r="A254" s="7"/>
      <c r="B254" s="7"/>
      <c r="C254" s="7"/>
      <c r="D254" s="7"/>
      <c r="E254" s="7"/>
      <c r="F254" s="7"/>
    </row>
    <row r="255" customFormat="false" ht="12.75" hidden="false" customHeight="false" outlineLevel="0" collapsed="false">
      <c r="A255" s="7"/>
      <c r="B255" s="7"/>
      <c r="C255" s="7"/>
      <c r="D255" s="7"/>
      <c r="E255" s="7"/>
      <c r="F255" s="7"/>
    </row>
    <row r="256" customFormat="false" ht="12.75" hidden="false" customHeight="false" outlineLevel="0" collapsed="false">
      <c r="A256" s="7"/>
      <c r="B256" s="7"/>
      <c r="C256" s="7"/>
      <c r="D256" s="7"/>
      <c r="E256" s="7"/>
      <c r="F256" s="7"/>
    </row>
    <row r="257" customFormat="false" ht="12.75" hidden="false" customHeight="false" outlineLevel="0" collapsed="false">
      <c r="A257" s="7"/>
      <c r="B257" s="7"/>
      <c r="C257" s="7"/>
      <c r="D257" s="7"/>
      <c r="E257" s="7"/>
      <c r="F257" s="7"/>
    </row>
    <row r="258" customFormat="false" ht="12.75" hidden="false" customHeight="false" outlineLevel="0" collapsed="false">
      <c r="A258" s="7"/>
      <c r="B258" s="7"/>
      <c r="C258" s="7"/>
      <c r="D258" s="7"/>
      <c r="E258" s="7"/>
      <c r="F258" s="7"/>
    </row>
    <row r="259" customFormat="false" ht="12.75" hidden="false" customHeight="false" outlineLevel="0" collapsed="false">
      <c r="A259" s="7"/>
      <c r="B259" s="7"/>
      <c r="C259" s="7"/>
      <c r="D259" s="7"/>
      <c r="E259" s="7"/>
      <c r="F259" s="7"/>
    </row>
    <row r="260" customFormat="false" ht="12.75" hidden="false" customHeight="false" outlineLevel="0" collapsed="false">
      <c r="A260" s="7"/>
      <c r="B260" s="7"/>
      <c r="C260" s="7"/>
      <c r="D260" s="7"/>
      <c r="E260" s="7"/>
      <c r="F260" s="7"/>
    </row>
    <row r="261" customFormat="false" ht="12.75" hidden="false" customHeight="false" outlineLevel="0" collapsed="false">
      <c r="A261" s="7"/>
      <c r="B261" s="7"/>
      <c r="C261" s="7"/>
      <c r="D261" s="7"/>
      <c r="E261" s="7"/>
      <c r="F261" s="7"/>
    </row>
    <row r="262" customFormat="false" ht="12.75" hidden="false" customHeight="false" outlineLevel="0" collapsed="false">
      <c r="A262" s="7"/>
      <c r="B262" s="7"/>
      <c r="C262" s="7"/>
      <c r="D262" s="7"/>
      <c r="E262" s="7"/>
      <c r="F262" s="7"/>
    </row>
    <row r="263" customFormat="false" ht="12.75" hidden="false" customHeight="false" outlineLevel="0" collapsed="false">
      <c r="A263" s="7"/>
      <c r="B263" s="7"/>
      <c r="C263" s="7"/>
      <c r="D263" s="7"/>
      <c r="E263" s="7"/>
      <c r="F263" s="7"/>
    </row>
    <row r="264" customFormat="false" ht="12.75" hidden="false" customHeight="false" outlineLevel="0" collapsed="false">
      <c r="A264" s="7"/>
      <c r="B264" s="7"/>
      <c r="C264" s="7"/>
      <c r="D264" s="7"/>
      <c r="E264" s="7"/>
      <c r="F264" s="7"/>
    </row>
    <row r="265" customFormat="false" ht="12.75" hidden="false" customHeight="false" outlineLevel="0" collapsed="false">
      <c r="A265" s="7"/>
      <c r="B265" s="7"/>
      <c r="C265" s="7"/>
      <c r="D265" s="7"/>
      <c r="E265" s="7"/>
      <c r="F265" s="7"/>
    </row>
    <row r="266" customFormat="false" ht="12.75" hidden="false" customHeight="false" outlineLevel="0" collapsed="false">
      <c r="A266" s="7"/>
      <c r="B266" s="7"/>
      <c r="C266" s="7"/>
      <c r="D266" s="7"/>
      <c r="E266" s="7"/>
      <c r="F266" s="7"/>
    </row>
    <row r="267" customFormat="false" ht="12.75" hidden="false" customHeight="false" outlineLevel="0" collapsed="false">
      <c r="A267" s="7"/>
      <c r="B267" s="7"/>
      <c r="C267" s="7"/>
      <c r="D267" s="7"/>
      <c r="E267" s="7"/>
      <c r="F267" s="7"/>
    </row>
    <row r="268" customFormat="false" ht="12.75" hidden="false" customHeight="false" outlineLevel="0" collapsed="false">
      <c r="A268" s="7"/>
      <c r="B268" s="7"/>
      <c r="C268" s="7"/>
      <c r="D268" s="7"/>
      <c r="E268" s="7"/>
      <c r="F268" s="7"/>
    </row>
    <row r="269" customFormat="false" ht="12.75" hidden="false" customHeight="false" outlineLevel="0" collapsed="false">
      <c r="A269" s="7"/>
      <c r="B269" s="7"/>
      <c r="C269" s="7"/>
      <c r="D269" s="7"/>
      <c r="E269" s="7"/>
      <c r="F269" s="7"/>
    </row>
    <row r="270" customFormat="false" ht="12.75" hidden="false" customHeight="false" outlineLevel="0" collapsed="false">
      <c r="A270" s="7"/>
      <c r="B270" s="7"/>
      <c r="C270" s="7"/>
      <c r="D270" s="7"/>
      <c r="E270" s="7"/>
      <c r="F270" s="7"/>
    </row>
    <row r="271" customFormat="false" ht="12.75" hidden="false" customHeight="false" outlineLevel="0" collapsed="false">
      <c r="A271" s="7"/>
      <c r="B271" s="7"/>
      <c r="C271" s="7"/>
      <c r="D271" s="7"/>
      <c r="E271" s="7"/>
      <c r="F271" s="7"/>
    </row>
    <row r="272" customFormat="false" ht="12.75" hidden="false" customHeight="false" outlineLevel="0" collapsed="false">
      <c r="A272" s="7"/>
      <c r="B272" s="7"/>
      <c r="C272" s="7"/>
      <c r="D272" s="7"/>
      <c r="E272" s="7"/>
      <c r="F272" s="7"/>
    </row>
    <row r="273" customFormat="false" ht="12.75" hidden="false" customHeight="false" outlineLevel="0" collapsed="false">
      <c r="A273" s="7"/>
      <c r="B273" s="7"/>
      <c r="C273" s="7"/>
      <c r="D273" s="7"/>
      <c r="E273" s="7"/>
      <c r="F273" s="7"/>
    </row>
    <row r="274" customFormat="false" ht="12.75" hidden="false" customHeight="false" outlineLevel="0" collapsed="false">
      <c r="A274" s="7"/>
      <c r="B274" s="7"/>
      <c r="C274" s="7"/>
      <c r="D274" s="7"/>
      <c r="E274" s="7"/>
      <c r="F274" s="7"/>
    </row>
    <row r="275" customFormat="false" ht="12.75" hidden="false" customHeight="false" outlineLevel="0" collapsed="false">
      <c r="A275" s="7"/>
      <c r="B275" s="7"/>
      <c r="C275" s="7"/>
      <c r="D275" s="7"/>
      <c r="E275" s="7"/>
      <c r="F275" s="7"/>
    </row>
    <row r="276" customFormat="false" ht="12.75" hidden="false" customHeight="false" outlineLevel="0" collapsed="false">
      <c r="A276" s="7"/>
      <c r="B276" s="7"/>
      <c r="C276" s="7"/>
      <c r="D276" s="7"/>
      <c r="E276" s="7"/>
      <c r="F276" s="7"/>
    </row>
    <row r="277" customFormat="false" ht="12.75" hidden="false" customHeight="false" outlineLevel="0" collapsed="false">
      <c r="A277" s="7"/>
      <c r="B277" s="7"/>
      <c r="C277" s="7"/>
      <c r="D277" s="7"/>
      <c r="E277" s="7"/>
      <c r="F277" s="7"/>
    </row>
    <row r="278" customFormat="false" ht="12.75" hidden="false" customHeight="false" outlineLevel="0" collapsed="false">
      <c r="A278" s="7"/>
      <c r="B278" s="7"/>
      <c r="C278" s="7"/>
      <c r="D278" s="7"/>
      <c r="E278" s="7"/>
      <c r="F278" s="7"/>
    </row>
    <row r="279" customFormat="false" ht="12.75" hidden="false" customHeight="false" outlineLevel="0" collapsed="false">
      <c r="A279" s="7"/>
      <c r="B279" s="7"/>
      <c r="C279" s="7"/>
      <c r="D279" s="7"/>
      <c r="E279" s="7"/>
      <c r="F279" s="7"/>
    </row>
    <row r="280" customFormat="false" ht="12.75" hidden="false" customHeight="false" outlineLevel="0" collapsed="false">
      <c r="A280" s="7"/>
      <c r="B280" s="7"/>
      <c r="C280" s="7"/>
      <c r="D280" s="7"/>
      <c r="E280" s="7"/>
      <c r="F280" s="7"/>
    </row>
    <row r="281" customFormat="false" ht="12.75" hidden="false" customHeight="false" outlineLevel="0" collapsed="false">
      <c r="A281" s="7"/>
      <c r="B281" s="7"/>
      <c r="C281" s="7"/>
      <c r="D281" s="7"/>
      <c r="E281" s="7"/>
      <c r="F281" s="7"/>
    </row>
    <row r="282" customFormat="false" ht="12.75" hidden="false" customHeight="false" outlineLevel="0" collapsed="false">
      <c r="A282" s="7"/>
      <c r="B282" s="7"/>
      <c r="C282" s="7"/>
      <c r="D282" s="7"/>
      <c r="E282" s="7"/>
      <c r="F282" s="7"/>
    </row>
    <row r="283" customFormat="false" ht="12.75" hidden="false" customHeight="false" outlineLevel="0" collapsed="false">
      <c r="A283" s="7"/>
      <c r="B283" s="7"/>
      <c r="C283" s="7"/>
      <c r="D283" s="7"/>
      <c r="E283" s="7"/>
      <c r="F283" s="7"/>
    </row>
    <row r="284" customFormat="false" ht="12.75" hidden="false" customHeight="false" outlineLevel="0" collapsed="false">
      <c r="A284" s="7"/>
      <c r="B284" s="7"/>
      <c r="C284" s="7"/>
      <c r="D284" s="7"/>
      <c r="E284" s="7"/>
      <c r="F284" s="7"/>
    </row>
    <row r="285" customFormat="false" ht="12.75" hidden="false" customHeight="false" outlineLevel="0" collapsed="false">
      <c r="A285" s="7"/>
      <c r="B285" s="7"/>
      <c r="C285" s="7"/>
      <c r="D285" s="7"/>
      <c r="E285" s="7"/>
      <c r="F285" s="7"/>
    </row>
    <row r="286" customFormat="false" ht="12.75" hidden="false" customHeight="false" outlineLevel="0" collapsed="false">
      <c r="A286" s="7"/>
      <c r="B286" s="7"/>
      <c r="C286" s="7"/>
      <c r="D286" s="7"/>
      <c r="E286" s="7"/>
      <c r="F286" s="7"/>
    </row>
    <row r="287" customFormat="false" ht="12.75" hidden="false" customHeight="false" outlineLevel="0" collapsed="false">
      <c r="A287" s="7"/>
      <c r="B287" s="7"/>
      <c r="C287" s="7"/>
      <c r="D287" s="7"/>
      <c r="E287" s="7"/>
      <c r="F287" s="7"/>
    </row>
    <row r="288" customFormat="false" ht="12.75" hidden="false" customHeight="false" outlineLevel="0" collapsed="false">
      <c r="A288" s="7"/>
      <c r="B288" s="7"/>
      <c r="C288" s="7"/>
      <c r="D288" s="7"/>
      <c r="E288" s="7"/>
      <c r="F288" s="7"/>
    </row>
    <row r="289" customFormat="false" ht="12.75" hidden="false" customHeight="false" outlineLevel="0" collapsed="false">
      <c r="A289" s="7"/>
      <c r="B289" s="7"/>
      <c r="C289" s="7"/>
      <c r="D289" s="7"/>
      <c r="E289" s="7"/>
      <c r="F289" s="7"/>
    </row>
    <row r="290" customFormat="false" ht="12.75" hidden="false" customHeight="false" outlineLevel="0" collapsed="false">
      <c r="A290" s="7"/>
      <c r="B290" s="7"/>
      <c r="C290" s="7"/>
      <c r="D290" s="7"/>
      <c r="E290" s="7"/>
      <c r="F290" s="7"/>
    </row>
    <row r="291" customFormat="false" ht="12.75" hidden="false" customHeight="false" outlineLevel="0" collapsed="false">
      <c r="A291" s="7"/>
      <c r="B291" s="7"/>
      <c r="C291" s="7"/>
      <c r="D291" s="7"/>
      <c r="E291" s="7"/>
      <c r="F291" s="7"/>
    </row>
    <row r="292" customFormat="false" ht="12.75" hidden="false" customHeight="false" outlineLevel="0" collapsed="false">
      <c r="A292" s="7"/>
      <c r="B292" s="7"/>
      <c r="C292" s="7"/>
      <c r="D292" s="7"/>
      <c r="E292" s="7"/>
      <c r="F292" s="7"/>
    </row>
    <row r="293" customFormat="false" ht="12.75" hidden="false" customHeight="false" outlineLevel="0" collapsed="false">
      <c r="A293" s="7"/>
      <c r="B293" s="7"/>
      <c r="C293" s="7"/>
      <c r="D293" s="7"/>
      <c r="E293" s="7"/>
      <c r="F293" s="7"/>
    </row>
    <row r="294" customFormat="false" ht="12.75" hidden="false" customHeight="false" outlineLevel="0" collapsed="false">
      <c r="A294" s="7"/>
      <c r="B294" s="7"/>
      <c r="C294" s="7"/>
      <c r="D294" s="7"/>
      <c r="E294" s="7"/>
      <c r="F294" s="7"/>
    </row>
    <row r="295" customFormat="false" ht="12.75" hidden="false" customHeight="false" outlineLevel="0" collapsed="false">
      <c r="A295" s="7"/>
      <c r="B295" s="7"/>
      <c r="C295" s="7"/>
      <c r="D295" s="7"/>
      <c r="E295" s="7"/>
      <c r="F295" s="7"/>
    </row>
    <row r="296" customFormat="false" ht="12.75" hidden="false" customHeight="false" outlineLevel="0" collapsed="false">
      <c r="A296" s="7"/>
      <c r="B296" s="7"/>
      <c r="C296" s="7"/>
      <c r="D296" s="7"/>
      <c r="E296" s="7"/>
      <c r="F296" s="7"/>
    </row>
    <row r="297" customFormat="false" ht="12.75" hidden="false" customHeight="false" outlineLevel="0" collapsed="false">
      <c r="A297" s="7"/>
      <c r="B297" s="7"/>
      <c r="C297" s="7"/>
      <c r="D297" s="7"/>
      <c r="E297" s="7"/>
      <c r="F297" s="7"/>
    </row>
    <row r="298" customFormat="false" ht="12.75" hidden="false" customHeight="false" outlineLevel="0" collapsed="false">
      <c r="A298" s="7"/>
      <c r="B298" s="7"/>
      <c r="C298" s="7"/>
      <c r="D298" s="7"/>
      <c r="E298" s="7"/>
      <c r="F298" s="7"/>
    </row>
    <row r="299" customFormat="false" ht="12.75" hidden="false" customHeight="false" outlineLevel="0" collapsed="false">
      <c r="A299" s="7"/>
      <c r="B299" s="7"/>
      <c r="C299" s="7"/>
      <c r="D299" s="7"/>
      <c r="E299" s="7"/>
      <c r="F299" s="7"/>
    </row>
    <row r="300" customFormat="false" ht="12.75" hidden="false" customHeight="false" outlineLevel="0" collapsed="false">
      <c r="A300" s="7"/>
      <c r="B300" s="7"/>
      <c r="C300" s="7"/>
      <c r="D300" s="7"/>
      <c r="E300" s="7"/>
      <c r="F300" s="7"/>
    </row>
    <row r="301" customFormat="false" ht="12.75" hidden="false" customHeight="false" outlineLevel="0" collapsed="false">
      <c r="A301" s="7"/>
      <c r="B301" s="7"/>
      <c r="C301" s="7"/>
      <c r="D301" s="7"/>
      <c r="E301" s="7"/>
      <c r="F301" s="7"/>
    </row>
    <row r="302" customFormat="false" ht="12.75" hidden="false" customHeight="false" outlineLevel="0" collapsed="false">
      <c r="A302" s="7"/>
      <c r="B302" s="7"/>
      <c r="C302" s="7"/>
      <c r="D302" s="7"/>
      <c r="E302" s="7"/>
      <c r="F302" s="7"/>
    </row>
    <row r="303" customFormat="false" ht="12.75" hidden="false" customHeight="false" outlineLevel="0" collapsed="false">
      <c r="A303" s="7"/>
      <c r="B303" s="7"/>
      <c r="C303" s="7"/>
      <c r="D303" s="7"/>
      <c r="E303" s="7"/>
      <c r="F303" s="7"/>
    </row>
    <row r="304" customFormat="false" ht="12.75" hidden="false" customHeight="false" outlineLevel="0" collapsed="false">
      <c r="A304" s="7"/>
      <c r="E304" s="7"/>
      <c r="F304" s="7"/>
    </row>
    <row r="305" customFormat="false" ht="12.75" hidden="false" customHeight="false" outlineLevel="0" collapsed="false">
      <c r="A305" s="7"/>
      <c r="E305" s="7"/>
      <c r="F305" s="7"/>
    </row>
    <row r="306" customFormat="false" ht="12.75" hidden="false" customHeight="false" outlineLevel="0" collapsed="false">
      <c r="A306" s="7"/>
      <c r="E306" s="7"/>
      <c r="F306" s="7"/>
    </row>
    <row r="307" customFormat="false" ht="12.75" hidden="false" customHeight="false" outlineLevel="0" collapsed="false">
      <c r="A307" s="7"/>
      <c r="E307" s="7"/>
      <c r="F307" s="7"/>
    </row>
    <row r="308" customFormat="false" ht="12.75" hidden="false" customHeight="false" outlineLevel="0" collapsed="false">
      <c r="A308" s="7"/>
      <c r="E308" s="7"/>
      <c r="F308" s="7"/>
    </row>
    <row r="309" customFormat="false" ht="12.75" hidden="false" customHeight="false" outlineLevel="0" collapsed="false">
      <c r="A309" s="7"/>
      <c r="E309" s="7"/>
      <c r="F309" s="7"/>
    </row>
    <row r="310" customFormat="false" ht="12.75" hidden="false" customHeight="false" outlineLevel="0" collapsed="false">
      <c r="A310" s="7"/>
      <c r="E310" s="7"/>
      <c r="F310" s="7"/>
    </row>
    <row r="311" customFormat="false" ht="12.75" hidden="false" customHeight="false" outlineLevel="0" collapsed="false">
      <c r="A311" s="7"/>
      <c r="E311" s="7"/>
      <c r="F311" s="7"/>
    </row>
    <row r="312" customFormat="false" ht="12.75" hidden="false" customHeight="false" outlineLevel="0" collapsed="false">
      <c r="A312" s="7"/>
      <c r="E312" s="7"/>
      <c r="F312" s="7"/>
    </row>
    <row r="313" customFormat="false" ht="12.75" hidden="false" customHeight="false" outlineLevel="0" collapsed="false">
      <c r="A313" s="7"/>
      <c r="E313" s="7"/>
      <c r="F313" s="7"/>
    </row>
    <row r="314" customFormat="false" ht="12.75" hidden="false" customHeight="false" outlineLevel="0" collapsed="false">
      <c r="A314" s="7"/>
      <c r="E314" s="7"/>
      <c r="F314" s="7"/>
    </row>
    <row r="315" customFormat="false" ht="12.75" hidden="false" customHeight="false" outlineLevel="0" collapsed="false">
      <c r="A315" s="7"/>
      <c r="E315" s="7"/>
      <c r="F315" s="7"/>
    </row>
    <row r="316" customFormat="false" ht="12.75" hidden="false" customHeight="false" outlineLevel="0" collapsed="false">
      <c r="A316" s="7"/>
      <c r="E316" s="7"/>
      <c r="F316" s="7"/>
    </row>
    <row r="317" customFormat="false" ht="12.75" hidden="false" customHeight="false" outlineLevel="0" collapsed="false">
      <c r="A317" s="7"/>
      <c r="E317" s="7"/>
      <c r="F317" s="7"/>
    </row>
    <row r="318" customFormat="false" ht="12.75" hidden="false" customHeight="false" outlineLevel="0" collapsed="false">
      <c r="A318" s="7"/>
      <c r="E318" s="7"/>
      <c r="F318" s="7"/>
    </row>
    <row r="319" customFormat="false" ht="12.75" hidden="false" customHeight="false" outlineLevel="0" collapsed="false">
      <c r="A319" s="7"/>
      <c r="E319" s="7"/>
      <c r="F319" s="7"/>
    </row>
    <row r="320" customFormat="false" ht="12.75" hidden="false" customHeight="false" outlineLevel="0" collapsed="false">
      <c r="A320" s="7"/>
      <c r="E320" s="7"/>
      <c r="F320" s="7"/>
    </row>
    <row r="321" customFormat="false" ht="12.75" hidden="false" customHeight="false" outlineLevel="0" collapsed="false">
      <c r="A321" s="7"/>
      <c r="E321" s="7"/>
      <c r="F321" s="7"/>
    </row>
    <row r="322" customFormat="false" ht="12.75" hidden="false" customHeight="false" outlineLevel="0" collapsed="false">
      <c r="A322" s="7"/>
      <c r="E322" s="7"/>
      <c r="F322" s="7"/>
    </row>
    <row r="323" customFormat="false" ht="12.75" hidden="false" customHeight="false" outlineLevel="0" collapsed="false">
      <c r="A323" s="7"/>
      <c r="E323" s="7"/>
      <c r="F323" s="7"/>
    </row>
    <row r="324" customFormat="false" ht="12.75" hidden="false" customHeight="false" outlineLevel="0" collapsed="false">
      <c r="A324" s="7"/>
      <c r="E324" s="7"/>
      <c r="F324" s="7"/>
    </row>
    <row r="325" customFormat="false" ht="12.75" hidden="false" customHeight="false" outlineLevel="0" collapsed="false">
      <c r="A325" s="7"/>
      <c r="E325" s="7"/>
      <c r="F325" s="7"/>
    </row>
    <row r="326" customFormat="false" ht="12.75" hidden="false" customHeight="false" outlineLevel="0" collapsed="false">
      <c r="A326" s="7"/>
      <c r="E326" s="7"/>
      <c r="F326" s="7"/>
    </row>
    <row r="327" customFormat="false" ht="12.75" hidden="false" customHeight="false" outlineLevel="0" collapsed="false">
      <c r="A327" s="7"/>
      <c r="E327" s="7"/>
      <c r="F327" s="7"/>
    </row>
    <row r="328" customFormat="false" ht="12.75" hidden="false" customHeight="false" outlineLevel="0" collapsed="false">
      <c r="A328" s="7"/>
      <c r="E328" s="7"/>
      <c r="F328" s="7"/>
    </row>
    <row r="329" customFormat="false" ht="12.75" hidden="false" customHeight="false" outlineLevel="0" collapsed="false">
      <c r="A329" s="7"/>
      <c r="E329" s="7"/>
      <c r="F329" s="7"/>
    </row>
    <row r="330" customFormat="false" ht="12.75" hidden="false" customHeight="false" outlineLevel="0" collapsed="false">
      <c r="A330" s="7"/>
      <c r="E330" s="7"/>
      <c r="F330" s="7"/>
    </row>
    <row r="331" customFormat="false" ht="12.75" hidden="false" customHeight="false" outlineLevel="0" collapsed="false">
      <c r="A331" s="7"/>
      <c r="E331" s="7"/>
      <c r="F331" s="7"/>
    </row>
    <row r="332" customFormat="false" ht="12.75" hidden="false" customHeight="false" outlineLevel="0" collapsed="false">
      <c r="A332" s="7"/>
      <c r="E332" s="7"/>
      <c r="F332" s="7"/>
    </row>
    <row r="333" customFormat="false" ht="12.75" hidden="false" customHeight="false" outlineLevel="0" collapsed="false">
      <c r="A333" s="7"/>
      <c r="E333" s="7"/>
      <c r="F333" s="7"/>
    </row>
    <row r="334" customFormat="false" ht="12.75" hidden="false" customHeight="false" outlineLevel="0" collapsed="false">
      <c r="A334" s="7"/>
      <c r="E334" s="7"/>
      <c r="F334" s="7"/>
    </row>
    <row r="335" customFormat="false" ht="12.75" hidden="false" customHeight="false" outlineLevel="0" collapsed="false">
      <c r="A335" s="7"/>
      <c r="E335" s="7"/>
      <c r="F335" s="7"/>
    </row>
    <row r="336" customFormat="false" ht="12.75" hidden="false" customHeight="false" outlineLevel="0" collapsed="false">
      <c r="A336" s="7"/>
      <c r="E336" s="7"/>
      <c r="F336" s="7"/>
    </row>
    <row r="337" customFormat="false" ht="12.75" hidden="false" customHeight="false" outlineLevel="0" collapsed="false">
      <c r="A337" s="7"/>
      <c r="E337" s="7"/>
      <c r="F337" s="7"/>
    </row>
    <row r="338" customFormat="false" ht="12.75" hidden="false" customHeight="false" outlineLevel="0" collapsed="false">
      <c r="A338" s="7"/>
      <c r="E338" s="7"/>
      <c r="F338" s="7"/>
    </row>
    <row r="339" customFormat="false" ht="12.75" hidden="false" customHeight="false" outlineLevel="0" collapsed="false">
      <c r="A339" s="7"/>
      <c r="E339" s="7"/>
      <c r="F339" s="7"/>
    </row>
    <row r="340" customFormat="false" ht="12.75" hidden="false" customHeight="false" outlineLevel="0" collapsed="false">
      <c r="A340" s="7"/>
      <c r="E340" s="7"/>
      <c r="F340" s="7"/>
    </row>
    <row r="341" customFormat="false" ht="12.75" hidden="false" customHeight="false" outlineLevel="0" collapsed="false">
      <c r="A341" s="7"/>
      <c r="E341" s="7"/>
      <c r="F341" s="7"/>
    </row>
    <row r="342" customFormat="false" ht="12.75" hidden="false" customHeight="false" outlineLevel="0" collapsed="false">
      <c r="A342" s="7"/>
      <c r="E342" s="7"/>
      <c r="F342" s="7"/>
    </row>
    <row r="343" customFormat="false" ht="12.75" hidden="false" customHeight="false" outlineLevel="0" collapsed="false">
      <c r="A343" s="7"/>
      <c r="E343" s="7"/>
      <c r="F343" s="7"/>
    </row>
    <row r="344" customFormat="false" ht="12.75" hidden="false" customHeight="false" outlineLevel="0" collapsed="false">
      <c r="A344" s="7"/>
      <c r="E344" s="7"/>
      <c r="F344" s="7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8.58984375" defaultRowHeight="12.75" zeroHeight="false" outlineLevelRow="0" outlineLevelCol="0"/>
  <cols>
    <col collapsed="false" customWidth="true" hidden="false" outlineLevel="0" max="2" min="2" style="0" width="11.81"/>
    <col collapsed="false" customWidth="true" hidden="false" outlineLevel="0" max="3" min="3" style="0" width="11.22"/>
    <col collapsed="false" customWidth="true" hidden="false" outlineLevel="0" max="4" min="4" style="0" width="12.9"/>
    <col collapsed="false" customWidth="true" hidden="false" outlineLevel="0" max="5" min="5" style="0" width="11.22"/>
    <col collapsed="false" customWidth="true" hidden="false" outlineLevel="0" max="6" min="6" style="0" width="12.4"/>
    <col collapsed="false" customWidth="true" hidden="false" outlineLevel="0" max="7" min="7" style="0" width="11.04"/>
    <col collapsed="false" customWidth="true" hidden="false" outlineLevel="0" max="8" min="8" style="0" width="12.8"/>
    <col collapsed="false" customWidth="true" hidden="false" outlineLevel="0" max="12" min="12" style="0" width="42.4"/>
  </cols>
  <sheetData>
    <row r="1" customFormat="false" ht="15" hidden="false" customHeight="false" outlineLevel="0" collapsed="false">
      <c r="B1" s="1" t="s">
        <v>54</v>
      </c>
      <c r="C1" s="1"/>
      <c r="D1" s="1"/>
      <c r="E1" s="1"/>
      <c r="F1" s="17"/>
      <c r="G1" s="17"/>
      <c r="I1" s="17"/>
    </row>
    <row r="3" customFormat="false" ht="12.75" hidden="false" customHeight="false" outlineLevel="0" collapsed="false">
      <c r="B3" s="3" t="s">
        <v>55</v>
      </c>
      <c r="C3" s="3" t="s">
        <v>56</v>
      </c>
      <c r="D3" s="3" t="s">
        <v>57</v>
      </c>
      <c r="E3" s="4" t="s">
        <v>58</v>
      </c>
      <c r="F3" s="4" t="s">
        <v>59</v>
      </c>
      <c r="G3" s="4" t="s">
        <v>60</v>
      </c>
      <c r="H3" s="4" t="s">
        <v>61</v>
      </c>
      <c r="I3" s="5" t="s">
        <v>62</v>
      </c>
      <c r="J3" s="18" t="s">
        <v>63</v>
      </c>
      <c r="L3" s="6" t="s">
        <v>8</v>
      </c>
    </row>
    <row r="4" customFormat="false" ht="12.8" hidden="false" customHeight="false" outlineLevel="0" collapsed="false">
      <c r="A4" s="0" t="n">
        <v>1</v>
      </c>
      <c r="B4" s="7" t="n">
        <v>-4.6</v>
      </c>
      <c r="C4" s="7" t="n">
        <v>-4.5</v>
      </c>
      <c r="D4" s="7" t="n">
        <f aca="false">(B4+C4)/2</f>
        <v>-4.55</v>
      </c>
      <c r="E4" s="19" t="n">
        <f aca="false">(B4-2)*COS(B4)-1</f>
        <v>-0.259793322228638</v>
      </c>
      <c r="F4" s="19" t="n">
        <f aca="false">(D4-2)*COS(D4)-1</f>
        <v>0.0589792171166466</v>
      </c>
      <c r="G4" s="7" t="n">
        <f aca="false">ABS(F4)</f>
        <v>0.0589792171166466</v>
      </c>
      <c r="H4" s="19" t="n">
        <f aca="false">ABS(B4-C4)</f>
        <v>0.0999999999999996</v>
      </c>
      <c r="I4" s="19" t="str">
        <f aca="false">IF(OR(G4&lt;=$J$4,H4&lt;=$J$4),"корень","")</f>
        <v/>
      </c>
      <c r="J4" s="5" t="n">
        <f aca="false">0.000001</f>
        <v>1E-006</v>
      </c>
      <c r="L4" s="9" t="s">
        <v>64</v>
      </c>
      <c r="M4" s="0" t="s">
        <v>65</v>
      </c>
    </row>
    <row r="5" customFormat="false" ht="12.75" hidden="false" customHeight="false" outlineLevel="0" collapsed="false">
      <c r="A5" s="0" t="n">
        <f aca="false">A4+1</f>
        <v>2</v>
      </c>
      <c r="B5" s="7" t="n">
        <f aca="false">IF(E4*F4&lt;0,B4,D4)</f>
        <v>-4.6</v>
      </c>
      <c r="C5" s="7" t="n">
        <f aca="false">IF(E4*F4&lt;0,D4,C4)</f>
        <v>-4.55</v>
      </c>
      <c r="D5" s="7" t="n">
        <f aca="false">(B5+C5)/2</f>
        <v>-4.575</v>
      </c>
      <c r="E5" s="19" t="n">
        <f aca="false">(B5-2)*COS(B5)-1</f>
        <v>-0.259793322228638</v>
      </c>
      <c r="F5" s="19" t="n">
        <f aca="false">(D5-2)*COS(D5)-1</f>
        <v>-0.0995066169122075</v>
      </c>
      <c r="G5" s="7" t="n">
        <f aca="false">ABS(F5)</f>
        <v>0.0995066169122075</v>
      </c>
      <c r="H5" s="19" t="n">
        <f aca="false">ABS(B5-C5)</f>
        <v>0.0499999999999998</v>
      </c>
      <c r="I5" s="19" t="str">
        <f aca="false">IF(OR(G5&lt;=$J$4,H5&lt;=$J$4),"корень","")</f>
        <v/>
      </c>
      <c r="J5" s="19"/>
      <c r="L5" s="9" t="s">
        <v>66</v>
      </c>
      <c r="M5" s="0" t="s">
        <v>67</v>
      </c>
    </row>
    <row r="6" customFormat="false" ht="12.75" hidden="false" customHeight="false" outlineLevel="0" collapsed="false">
      <c r="A6" s="0" t="n">
        <f aca="false">A5+1</f>
        <v>3</v>
      </c>
      <c r="B6" s="7" t="n">
        <f aca="false">IF(E5*F5&lt;0,B5,D5)</f>
        <v>-4.575</v>
      </c>
      <c r="C6" s="7" t="n">
        <f aca="false">IF(E5*F5&lt;0,D5,C5)</f>
        <v>-4.55</v>
      </c>
      <c r="D6" s="7" t="n">
        <f aca="false">(B6+C6)/2</f>
        <v>-4.5625</v>
      </c>
      <c r="E6" s="19" t="n">
        <f aca="false">(B6-2)*COS(B6)-1</f>
        <v>-0.0995066169122133</v>
      </c>
      <c r="F6" s="19" t="n">
        <f aca="false">(D6-2)*COS(D6)-1</f>
        <v>-0.0200326468962961</v>
      </c>
      <c r="G6" s="7" t="n">
        <f aca="false">ABS(F6)</f>
        <v>0.0200326468962961</v>
      </c>
      <c r="H6" s="19" t="n">
        <f aca="false">ABS(B6-C6)</f>
        <v>0.0250000000000004</v>
      </c>
      <c r="I6" s="19" t="str">
        <f aca="false">IF(OR(G6&lt;=$J$4,H6&lt;=$J$4),"корень","")</f>
        <v/>
      </c>
      <c r="J6" s="20"/>
      <c r="L6" s="21" t="s">
        <v>68</v>
      </c>
      <c r="M6" s="0" t="s">
        <v>69</v>
      </c>
    </row>
    <row r="7" customFormat="false" ht="12.75" hidden="false" customHeight="false" outlineLevel="0" collapsed="false">
      <c r="A7" s="0" t="n">
        <f aca="false">A6+1</f>
        <v>4</v>
      </c>
      <c r="B7" s="7" t="n">
        <f aca="false">IF(E6*F6&lt;0,B6,D6)</f>
        <v>-4.5625</v>
      </c>
      <c r="C7" s="7" t="n">
        <f aca="false">IF(E6*F6&lt;0,D6,C6)</f>
        <v>-4.55</v>
      </c>
      <c r="D7" s="7" t="n">
        <f aca="false">(B7+C7)/2</f>
        <v>-4.55625</v>
      </c>
      <c r="E7" s="19" t="n">
        <f aca="false">(B7-2)*COS(B7)-1</f>
        <v>-0.0200326468962961</v>
      </c>
      <c r="F7" s="19" t="n">
        <f aca="false">(D7-2)*COS(D7)-1</f>
        <v>0.0195317848311045</v>
      </c>
      <c r="G7" s="7" t="n">
        <f aca="false">ABS(F7)</f>
        <v>0.0195317848311045</v>
      </c>
      <c r="H7" s="19" t="n">
        <f aca="false">ABS(B7-C7)</f>
        <v>0.0125000000000002</v>
      </c>
      <c r="I7" s="19" t="str">
        <f aca="false">IF(OR(G7&lt;=$J$4,H7&lt;=$J$4),"корень","")</f>
        <v/>
      </c>
      <c r="J7" s="20"/>
      <c r="L7" s="9" t="s">
        <v>70</v>
      </c>
      <c r="M7" s="7" t="s">
        <v>71</v>
      </c>
    </row>
    <row r="8" customFormat="false" ht="12.75" hidden="false" customHeight="false" outlineLevel="0" collapsed="false">
      <c r="A8" s="0" t="n">
        <f aca="false">A7+1</f>
        <v>5</v>
      </c>
      <c r="B8" s="7" t="n">
        <f aca="false">IF(E7*F7&lt;0,B7,D7)</f>
        <v>-4.5625</v>
      </c>
      <c r="C8" s="7" t="n">
        <f aca="false">IF(E7*F7&lt;0,D7,C7)</f>
        <v>-4.55625</v>
      </c>
      <c r="D8" s="7" t="n">
        <f aca="false">(B8+C8)/2</f>
        <v>-4.559375</v>
      </c>
      <c r="E8" s="19" t="n">
        <f aca="false">(B8-2)*COS(B8)-1</f>
        <v>-0.0200326468962961</v>
      </c>
      <c r="F8" s="19" t="n">
        <f aca="false">(D8-2)*COS(D8)-1</f>
        <v>-0.000235897866388224</v>
      </c>
      <c r="G8" s="7" t="n">
        <f aca="false">ABS(F8)</f>
        <v>0.000235897866388224</v>
      </c>
      <c r="H8" s="19" t="n">
        <f aca="false">ABS(B8-C8)</f>
        <v>0.00624999999999965</v>
      </c>
      <c r="I8" s="19" t="str">
        <f aca="false">IF(OR(G8&lt;=$J$4,H8&lt;=$J$4),"корень","")</f>
        <v/>
      </c>
      <c r="J8" s="20"/>
      <c r="L8" s="9" t="s">
        <v>72</v>
      </c>
      <c r="M8" s="0" t="s">
        <v>73</v>
      </c>
    </row>
    <row r="9" customFormat="false" ht="12.75" hidden="false" customHeight="false" outlineLevel="0" collapsed="false">
      <c r="A9" s="0" t="n">
        <f aca="false">A8+1</f>
        <v>6</v>
      </c>
      <c r="B9" s="7" t="n">
        <f aca="false">IF(E8*F8&lt;0,B8,D8)</f>
        <v>-4.559375</v>
      </c>
      <c r="C9" s="7" t="n">
        <f aca="false">IF(E8*F8&lt;0,D8,C8)</f>
        <v>-4.55625</v>
      </c>
      <c r="D9" s="7" t="n">
        <f aca="false">(B9+C9)/2</f>
        <v>-4.5578125</v>
      </c>
      <c r="E9" s="19" t="n">
        <f aca="false">(B9-2)*COS(B9)-1</f>
        <v>-0.000235897866388224</v>
      </c>
      <c r="F9" s="19" t="n">
        <f aca="false">(D9-2)*COS(D9)-1</f>
        <v>0.00965158826290846</v>
      </c>
      <c r="G9" s="7" t="n">
        <f aca="false">ABS(F9)</f>
        <v>0.00965158826290846</v>
      </c>
      <c r="H9" s="19" t="n">
        <f aca="false">ABS(B9-C9)</f>
        <v>0.00312499999999982</v>
      </c>
      <c r="I9" s="19" t="str">
        <f aca="false">IF(OR(G9&lt;=$J$4,H9&lt;=$J$4),"корень","")</f>
        <v/>
      </c>
      <c r="J9" s="20"/>
      <c r="L9" s="9" t="s">
        <v>74</v>
      </c>
      <c r="M9" s="0" t="s">
        <v>75</v>
      </c>
    </row>
    <row r="10" customFormat="false" ht="12.75" hidden="false" customHeight="false" outlineLevel="0" collapsed="false">
      <c r="A10" s="0" t="n">
        <f aca="false">A9+1</f>
        <v>7</v>
      </c>
      <c r="B10" s="7" t="n">
        <f aca="false">IF(E9*F9&lt;0,B9,D9)</f>
        <v>-4.559375</v>
      </c>
      <c r="C10" s="7" t="n">
        <f aca="false">IF(E9*F9&lt;0,D9,C9)</f>
        <v>-4.5578125</v>
      </c>
      <c r="D10" s="7" t="n">
        <f aca="false">(B10+C10)/2</f>
        <v>-4.55859375</v>
      </c>
      <c r="E10" s="19" t="n">
        <f aca="false">(B10-2)*COS(B10)-1</f>
        <v>-0.000235897866388224</v>
      </c>
      <c r="F10" s="19" t="n">
        <f aca="false">(D10-2)*COS(D10)-1</f>
        <v>0.00470875495842993</v>
      </c>
      <c r="G10" s="7" t="n">
        <f aca="false">ABS(F10)</f>
        <v>0.00470875495842993</v>
      </c>
      <c r="H10" s="19" t="n">
        <f aca="false">ABS(B10-C10)</f>
        <v>0.00156249999999947</v>
      </c>
      <c r="I10" s="19" t="str">
        <f aca="false">IF(OR(G10&lt;=$J$4,H10&lt;=$J$4),"корень","")</f>
        <v/>
      </c>
      <c r="L10" s="9" t="s">
        <v>76</v>
      </c>
      <c r="M10" s="0" t="s">
        <v>77</v>
      </c>
    </row>
    <row r="11" customFormat="false" ht="12.75" hidden="false" customHeight="false" outlineLevel="0" collapsed="false">
      <c r="A11" s="0" t="n">
        <f aca="false">A10+1</f>
        <v>8</v>
      </c>
      <c r="B11" s="7" t="n">
        <f aca="false">IF(E10*F10&lt;0,B10,D10)</f>
        <v>-4.559375</v>
      </c>
      <c r="C11" s="7" t="n">
        <f aca="false">IF(E10*F10&lt;0,D10,C10)</f>
        <v>-4.55859375</v>
      </c>
      <c r="D11" s="7" t="n">
        <f aca="false">(B11+C11)/2</f>
        <v>-4.558984375</v>
      </c>
      <c r="E11" s="19" t="n">
        <f aca="false">(B11-2)*COS(B11)-1</f>
        <v>-0.000235897866388224</v>
      </c>
      <c r="F11" s="19" t="n">
        <f aca="false">(D11-2)*COS(D11)-1</f>
        <v>0.00223665580659294</v>
      </c>
      <c r="G11" s="7" t="n">
        <f aca="false">ABS(F11)</f>
        <v>0.00223665580659294</v>
      </c>
      <c r="H11" s="19" t="n">
        <f aca="false">ABS(B11-C11)</f>
        <v>0.000781250000000178</v>
      </c>
      <c r="I11" s="19" t="str">
        <f aca="false">IF(OR(G11&lt;=$J$4,H11&lt;=$J$4),"корень","")</f>
        <v/>
      </c>
      <c r="L11" s="9" t="s">
        <v>78</v>
      </c>
      <c r="M11" s="0" t="s">
        <v>79</v>
      </c>
    </row>
    <row r="12" customFormat="false" ht="12.75" hidden="false" customHeight="false" outlineLevel="0" collapsed="false">
      <c r="A12" s="0" t="n">
        <f aca="false">A11+1</f>
        <v>9</v>
      </c>
      <c r="B12" s="7" t="n">
        <f aca="false">IF(E11*F11&lt;0,B11,D11)</f>
        <v>-4.559375</v>
      </c>
      <c r="C12" s="7" t="n">
        <f aca="false">IF(E11*F11&lt;0,D11,C11)</f>
        <v>-4.558984375</v>
      </c>
      <c r="D12" s="7" t="n">
        <f aca="false">(B12+C12)/2</f>
        <v>-4.5591796875</v>
      </c>
      <c r="E12" s="19" t="n">
        <f aca="false">(B12-2)*COS(B12)-1</f>
        <v>-0.000235897866388224</v>
      </c>
      <c r="F12" s="19" t="n">
        <f aca="false">(D12-2)*COS(D12)-1</f>
        <v>0.00100043576280173</v>
      </c>
      <c r="G12" s="7" t="n">
        <f aca="false">ABS(F12)</f>
        <v>0.00100043576280173</v>
      </c>
      <c r="H12" s="19" t="n">
        <f aca="false">ABS(B12-C12)</f>
        <v>0.000390625000000533</v>
      </c>
      <c r="I12" s="19" t="str">
        <f aca="false">IF(OR(G12&lt;=$J$4,H12&lt;=$J$4),"корень","")</f>
        <v/>
      </c>
      <c r="L12" s="9" t="s">
        <v>80</v>
      </c>
    </row>
    <row r="13" customFormat="false" ht="12.75" hidden="false" customHeight="false" outlineLevel="0" collapsed="false">
      <c r="A13" s="0" t="n">
        <f aca="false">A12+1</f>
        <v>10</v>
      </c>
      <c r="B13" s="7" t="n">
        <f aca="false">IF(E12*F12&lt;0,B12,D12)</f>
        <v>-4.559375</v>
      </c>
      <c r="C13" s="7" t="n">
        <f aca="false">IF(E12*F12&lt;0,D12,C12)</f>
        <v>-4.5591796875</v>
      </c>
      <c r="D13" s="7" t="n">
        <f aca="false">(B13+C13)/2</f>
        <v>-4.55927734375</v>
      </c>
      <c r="E13" s="19" t="n">
        <f aca="false">(B13-2)*COS(B13)-1</f>
        <v>-0.000235897866388224</v>
      </c>
      <c r="F13" s="19" t="n">
        <f aca="false">(D13-2)*COS(D13)-1</f>
        <v>0.000382283143573803</v>
      </c>
      <c r="G13" s="7" t="n">
        <f aca="false">ABS(F13)</f>
        <v>0.000382283143573803</v>
      </c>
      <c r="H13" s="19" t="n">
        <f aca="false">ABS(B13-C13)</f>
        <v>0.000195312499999822</v>
      </c>
      <c r="I13" s="19" t="str">
        <f aca="false">IF(OR(G13&lt;=$J$4,H13&lt;=$J$4),"корень","")</f>
        <v/>
      </c>
      <c r="L13" s="9" t="s">
        <v>81</v>
      </c>
    </row>
    <row r="14" customFormat="false" ht="12.75" hidden="false" customHeight="false" outlineLevel="0" collapsed="false">
      <c r="A14" s="0" t="n">
        <f aca="false">A13+1</f>
        <v>11</v>
      </c>
      <c r="B14" s="7" t="n">
        <f aca="false">IF(E13*F13&lt;0,B13,D13)</f>
        <v>-4.559375</v>
      </c>
      <c r="C14" s="7" t="n">
        <f aca="false">IF(E13*F13&lt;0,D13,C13)</f>
        <v>-4.55927734375</v>
      </c>
      <c r="D14" s="7" t="n">
        <f aca="false">(B14+C14)/2</f>
        <v>-4.559326171875</v>
      </c>
      <c r="E14" s="19" t="n">
        <f aca="false">(B14-2)*COS(B14)-1</f>
        <v>-0.000235897866388224</v>
      </c>
      <c r="F14" s="19" t="n">
        <f aca="false">(D14-2)*COS(D14)-1</f>
        <v>7.31961870876763E-005</v>
      </c>
      <c r="G14" s="7" t="n">
        <f aca="false">ABS(F14)</f>
        <v>7.31961870876763E-005</v>
      </c>
      <c r="H14" s="19" t="n">
        <f aca="false">ABS(B14-C14)</f>
        <v>9.76562499994671E-005</v>
      </c>
      <c r="I14" s="19" t="str">
        <f aca="false">IF(OR(G14&lt;=$J$4,H14&lt;=$J$4),"корень","")</f>
        <v/>
      </c>
      <c r="L14" s="9" t="s">
        <v>82</v>
      </c>
    </row>
    <row r="15" customFormat="false" ht="12.75" hidden="false" customHeight="false" outlineLevel="0" collapsed="false">
      <c r="A15" s="0" t="n">
        <f aca="false">A14+1</f>
        <v>12</v>
      </c>
      <c r="B15" s="7" t="n">
        <f aca="false">IF(E14*F14&lt;0,B14,D14)</f>
        <v>-4.559375</v>
      </c>
      <c r="C15" s="7" t="n">
        <f aca="false">IF(E14*F14&lt;0,D14,C14)</f>
        <v>-4.559326171875</v>
      </c>
      <c r="D15" s="7" t="n">
        <f aca="false">(B15+C15)/2</f>
        <v>-4.5593505859375</v>
      </c>
      <c r="E15" s="19" t="n">
        <f aca="false">(B15-2)*COS(B15)-1</f>
        <v>-0.000235897866388224</v>
      </c>
      <c r="F15" s="19" t="n">
        <f aca="false">(D15-2)*COS(D15)-1</f>
        <v>-8.13499525683659E-005</v>
      </c>
      <c r="G15" s="7" t="n">
        <f aca="false">ABS(F15)</f>
        <v>8.13499525683659E-005</v>
      </c>
      <c r="H15" s="19" t="n">
        <f aca="false">ABS(B15-C15)</f>
        <v>4.88281250001776E-005</v>
      </c>
      <c r="I15" s="19" t="str">
        <f aca="false">IF(OR(G15&lt;=$J$4,H15&lt;=$J$4),"корень","")</f>
        <v/>
      </c>
      <c r="L15" s="9" t="s">
        <v>83</v>
      </c>
    </row>
    <row r="16" customFormat="false" ht="12.75" hidden="false" customHeight="false" outlineLevel="0" collapsed="false">
      <c r="A16" s="0" t="n">
        <f aca="false">A15+1</f>
        <v>13</v>
      </c>
      <c r="B16" s="7" t="n">
        <f aca="false">IF(E15*F15&lt;0,B15,D15)</f>
        <v>-4.5593505859375</v>
      </c>
      <c r="C16" s="7" t="n">
        <f aca="false">IF(E15*F15&lt;0,D15,C15)</f>
        <v>-4.559326171875</v>
      </c>
      <c r="D16" s="7" t="n">
        <f aca="false">(B16+C16)/2</f>
        <v>-4.55933837890625</v>
      </c>
      <c r="E16" s="19" t="n">
        <f aca="false">(B16-2)*COS(B16)-1</f>
        <v>-8.13499525683659E-005</v>
      </c>
      <c r="F16" s="19" t="n">
        <f aca="false">(D16-2)*COS(D16)-1</f>
        <v>-4.0766609652465E-006</v>
      </c>
      <c r="G16" s="7" t="n">
        <f aca="false">ABS(F16)</f>
        <v>4.0766609652465E-006</v>
      </c>
      <c r="H16" s="19" t="n">
        <f aca="false">ABS(B16-C16)</f>
        <v>2.44140624996447E-005</v>
      </c>
      <c r="I16" s="19" t="str">
        <f aca="false">IF(OR(G16&lt;=$J$4,H16&lt;=$J$4),"корень","")</f>
        <v/>
      </c>
      <c r="L16" s="9" t="s">
        <v>84</v>
      </c>
    </row>
    <row r="17" customFormat="false" ht="12.75" hidden="false" customHeight="false" outlineLevel="0" collapsed="false">
      <c r="A17" s="0" t="n">
        <f aca="false">A16+1</f>
        <v>14</v>
      </c>
      <c r="B17" s="7" t="n">
        <f aca="false">IF(E16*F16&lt;0,B16,D16)</f>
        <v>-4.55933837890625</v>
      </c>
      <c r="C17" s="7" t="n">
        <f aca="false">IF(E16*F16&lt;0,D16,C16)</f>
        <v>-4.559326171875</v>
      </c>
      <c r="D17" s="7" t="n">
        <f aca="false">(B17+C17)/2</f>
        <v>-4.55933227539063</v>
      </c>
      <c r="E17" s="19" t="n">
        <f aca="false">(B17-2)*COS(B17)-1</f>
        <v>-4.0766609652465E-006</v>
      </c>
      <c r="F17" s="19" t="n">
        <f aca="false">(D17-2)*COS(D17)-1</f>
        <v>3.45598185029772E-005</v>
      </c>
      <c r="G17" s="7" t="n">
        <f aca="false">ABS(F17)</f>
        <v>3.45598185029772E-005</v>
      </c>
      <c r="H17" s="19" t="n">
        <f aca="false">ABS(B17-C17)</f>
        <v>1.22070312498224E-005</v>
      </c>
      <c r="I17" s="19" t="str">
        <f aca="false">IF(OR(G17&lt;=$J$4,H17&lt;=$J$4),"корень","")</f>
        <v/>
      </c>
      <c r="L17" s="9" t="s">
        <v>85</v>
      </c>
    </row>
    <row r="18" customFormat="false" ht="12.75" hidden="false" customHeight="false" outlineLevel="0" collapsed="false">
      <c r="A18" s="0" t="n">
        <f aca="false">A17+1</f>
        <v>15</v>
      </c>
      <c r="B18" s="7" t="n">
        <f aca="false">IF(E17*F17&lt;0,B17,D17)</f>
        <v>-4.55933837890625</v>
      </c>
      <c r="C18" s="7" t="n">
        <f aca="false">IF(E17*F17&lt;0,D17,C17)</f>
        <v>-4.55933227539063</v>
      </c>
      <c r="D18" s="7" t="n">
        <f aca="false">(B18+C18)/2</f>
        <v>-4.55933532714844</v>
      </c>
      <c r="E18" s="19" t="n">
        <f aca="false">(B18-2)*COS(B18)-1</f>
        <v>-4.0766609652465E-006</v>
      </c>
      <c r="F18" s="19" t="n">
        <f aca="false">(D18-2)*COS(D18)-1</f>
        <v>1.52415926326643E-005</v>
      </c>
      <c r="G18" s="7" t="n">
        <f aca="false">ABS(F18)</f>
        <v>1.52415926326643E-005</v>
      </c>
      <c r="H18" s="19" t="n">
        <f aca="false">ABS(B18-C18)</f>
        <v>6.10351562446709E-006</v>
      </c>
      <c r="I18" s="19" t="str">
        <f aca="false">IF(OR(G18&lt;=$J$4,H18&lt;=$J$4),"корень","")</f>
        <v/>
      </c>
      <c r="L18" s="9" t="s">
        <v>86</v>
      </c>
    </row>
    <row r="19" customFormat="false" ht="12.75" hidden="false" customHeight="false" outlineLevel="0" collapsed="false">
      <c r="A19" s="0" t="n">
        <f aca="false">A18+1</f>
        <v>16</v>
      </c>
      <c r="B19" s="7" t="n">
        <f aca="false">IF(E18*F18&lt;0,B18,D18)</f>
        <v>-4.55933837890625</v>
      </c>
      <c r="C19" s="7" t="n">
        <f aca="false">IF(E18*F18&lt;0,D18,C18)</f>
        <v>-4.55933532714844</v>
      </c>
      <c r="D19" s="7" t="n">
        <f aca="false">(B19+C19)/2</f>
        <v>-4.55933685302734</v>
      </c>
      <c r="E19" s="19" t="n">
        <f aca="false">(B19-2)*COS(B19)-1</f>
        <v>-4.0766609652465E-006</v>
      </c>
      <c r="F19" s="19" t="n">
        <f aca="false">(D19-2)*COS(D19)-1</f>
        <v>5.58246930193462E-006</v>
      </c>
      <c r="G19" s="7" t="n">
        <f aca="false">ABS(F19)</f>
        <v>5.58246930193462E-006</v>
      </c>
      <c r="H19" s="19" t="n">
        <f aca="false">ABS(B19-C19)</f>
        <v>3.05175781267764E-006</v>
      </c>
      <c r="I19" s="19" t="str">
        <f aca="false">IF(OR(G19&lt;=$J$4,H19&lt;=$J$4),"корень","")</f>
        <v/>
      </c>
      <c r="L19" s="9" t="s">
        <v>87</v>
      </c>
    </row>
    <row r="20" customFormat="false" ht="12.75" hidden="false" customHeight="false" outlineLevel="0" collapsed="false">
      <c r="A20" s="22" t="n">
        <f aca="false">A19+1</f>
        <v>17</v>
      </c>
      <c r="B20" s="11" t="n">
        <f aca="false">IF(E19*F19&lt;0,B19,D19)</f>
        <v>-4.55933837890625</v>
      </c>
      <c r="C20" s="11" t="n">
        <f aca="false">IF(E19*F19&lt;0,D19,C19)</f>
        <v>-4.55933685302734</v>
      </c>
      <c r="D20" s="11" t="n">
        <f aca="false">(B20+C20)/2</f>
        <v>-4.5593376159668</v>
      </c>
      <c r="E20" s="23" t="n">
        <f aca="false">(B20-2)*COS(B20)-1</f>
        <v>-4.0766609652465E-006</v>
      </c>
      <c r="F20" s="23" t="n">
        <f aca="false">(D20-2)*COS(D20)-1</f>
        <v>7.52905031875528E-007</v>
      </c>
      <c r="G20" s="11" t="n">
        <f aca="false">ABS(F20)</f>
        <v>7.52905031875528E-007</v>
      </c>
      <c r="H20" s="23" t="n">
        <f aca="false">ABS(B20-C20)</f>
        <v>1.52587890678291E-006</v>
      </c>
      <c r="I20" s="23" t="str">
        <f aca="false">IF(OR(G20&lt;=$J$4,H20&lt;=$J$4),"корень","")</f>
        <v>корень</v>
      </c>
      <c r="J20" s="22"/>
      <c r="L20" s="9" t="s">
        <v>88</v>
      </c>
    </row>
    <row r="21" customFormat="false" ht="12.75" hidden="false" customHeight="false" outlineLevel="0" collapsed="false">
      <c r="B21" s="7"/>
      <c r="C21" s="7"/>
      <c r="D21" s="7"/>
      <c r="E21" s="19"/>
      <c r="F21" s="19"/>
      <c r="G21" s="7"/>
      <c r="H21" s="19"/>
      <c r="I21" s="19"/>
      <c r="L21" s="9" t="s">
        <v>89</v>
      </c>
    </row>
    <row r="22" customFormat="false" ht="12.75" hidden="false" customHeight="false" outlineLevel="0" collapsed="false">
      <c r="B22" s="7"/>
      <c r="C22" s="7"/>
      <c r="D22" s="7"/>
      <c r="E22" s="19"/>
      <c r="F22" s="19"/>
      <c r="G22" s="7"/>
      <c r="H22" s="19"/>
      <c r="I22" s="19"/>
      <c r="L22" s="9" t="s">
        <v>90</v>
      </c>
    </row>
    <row r="23" customFormat="false" ht="12.75" hidden="false" customHeight="false" outlineLevel="0" collapsed="false">
      <c r="B23" s="7"/>
      <c r="C23" s="7"/>
      <c r="D23" s="7"/>
      <c r="E23" s="19"/>
      <c r="F23" s="19"/>
      <c r="G23" s="7"/>
      <c r="H23" s="19"/>
      <c r="I23" s="19"/>
      <c r="L23" s="9" t="s">
        <v>91</v>
      </c>
    </row>
    <row r="24" customFormat="false" ht="12.75" hidden="false" customHeight="false" outlineLevel="0" collapsed="false">
      <c r="B24" s="7"/>
      <c r="C24" s="7"/>
      <c r="D24" s="7"/>
      <c r="E24" s="19"/>
      <c r="F24" s="19"/>
      <c r="G24" s="7"/>
      <c r="H24" s="19"/>
      <c r="I24" s="19"/>
      <c r="L24" s="13"/>
    </row>
    <row r="25" customFormat="false" ht="12.75" hidden="false" customHeight="false" outlineLevel="0" collapsed="false">
      <c r="B25" s="7"/>
      <c r="C25" s="7"/>
      <c r="D25" s="7"/>
      <c r="E25" s="24"/>
      <c r="F25" s="24"/>
      <c r="G25" s="24"/>
      <c r="I25" s="24"/>
      <c r="L25" s="25"/>
    </row>
    <row r="26" customFormat="false" ht="12.75" hidden="false" customHeight="false" outlineLevel="0" collapsed="false">
      <c r="B26" s="7"/>
      <c r="C26" s="7"/>
      <c r="D26" s="7"/>
      <c r="E26" s="24"/>
      <c r="F26" s="24"/>
      <c r="G26" s="24"/>
      <c r="I26" s="24"/>
      <c r="L26" s="7"/>
    </row>
    <row r="27" customFormat="false" ht="12.75" hidden="false" customHeight="false" outlineLevel="0" collapsed="false">
      <c r="B27" s="7"/>
      <c r="C27" s="7"/>
      <c r="D27" s="7" t="str">
        <f aca="false">IF(C27*C26&lt;0,"корень","")</f>
        <v/>
      </c>
    </row>
    <row r="28" customFormat="false" ht="12.75" hidden="false" customHeight="false" outlineLevel="0" collapsed="false">
      <c r="B28" s="7"/>
      <c r="C28" s="7"/>
      <c r="D28" s="7" t="str">
        <f aca="false">IF(C28*C27&lt;0,"корень","")</f>
        <v/>
      </c>
    </row>
    <row r="29" customFormat="false" ht="12.75" hidden="false" customHeight="false" outlineLevel="0" collapsed="false">
      <c r="B29" s="7"/>
      <c r="C29" s="7"/>
      <c r="D29" s="7" t="str">
        <f aca="false">IF(C29*C28&lt;0,"корень","")</f>
        <v/>
      </c>
    </row>
    <row r="30" customFormat="false" ht="12.75" hidden="false" customHeight="false" outlineLevel="0" collapsed="false">
      <c r="B30" s="7"/>
      <c r="C30" s="7"/>
      <c r="D30" s="7" t="str">
        <f aca="false">IF(C30*C29&lt;0,"корень","")</f>
        <v/>
      </c>
    </row>
    <row r="31" customFormat="false" ht="12.75" hidden="false" customHeight="false" outlineLevel="0" collapsed="false">
      <c r="B31" s="7"/>
      <c r="C31" s="7"/>
      <c r="D31" s="7" t="str">
        <f aca="false">IF(C31*C30&lt;0,"корень","")</f>
        <v/>
      </c>
    </row>
    <row r="32" customFormat="false" ht="12.75" hidden="false" customHeight="false" outlineLevel="0" collapsed="false">
      <c r="B32" s="7"/>
      <c r="C32" s="7"/>
      <c r="D32" s="7" t="str">
        <f aca="false">IF(C32*C31&lt;0,"корень","")</f>
        <v/>
      </c>
    </row>
    <row r="33" customFormat="false" ht="12.75" hidden="false" customHeight="false" outlineLevel="0" collapsed="false">
      <c r="B33" s="7"/>
      <c r="C33" s="7"/>
      <c r="D33" s="7" t="str">
        <f aca="false">IF(C33*C32&lt;0,"корень","")</f>
        <v/>
      </c>
    </row>
    <row r="34" customFormat="false" ht="12.75" hidden="false" customHeight="false" outlineLevel="0" collapsed="false">
      <c r="B34" s="7"/>
      <c r="C34" s="7"/>
      <c r="D34" s="7" t="str">
        <f aca="false">IF(C34*C33&lt;0,"корень","")</f>
        <v/>
      </c>
    </row>
    <row r="35" customFormat="false" ht="12.75" hidden="false" customHeight="false" outlineLevel="0" collapsed="false">
      <c r="B35" s="7"/>
      <c r="C35" s="7"/>
      <c r="D35" s="7" t="str">
        <f aca="false">IF(C35*C34&lt;0,"корень","")</f>
        <v/>
      </c>
    </row>
    <row r="36" customFormat="false" ht="12.75" hidden="false" customHeight="false" outlineLevel="0" collapsed="false">
      <c r="B36" s="7"/>
      <c r="C36" s="7"/>
      <c r="D36" s="7" t="str">
        <f aca="false">IF(C36*C35&lt;0,"корень","")</f>
        <v/>
      </c>
    </row>
    <row r="37" customFormat="false" ht="12.75" hidden="false" customHeight="false" outlineLevel="0" collapsed="false">
      <c r="B37" s="7"/>
      <c r="C37" s="7"/>
      <c r="D37" s="7" t="str">
        <f aca="false">IF(C37*C36&lt;0,"корень","")</f>
        <v/>
      </c>
    </row>
    <row r="38" customFormat="false" ht="12.75" hidden="false" customHeight="false" outlineLevel="0" collapsed="false">
      <c r="B38" s="7"/>
      <c r="C38" s="7"/>
      <c r="D38" s="7" t="str">
        <f aca="false">IF(C38*C37&lt;0,"корень","")</f>
        <v/>
      </c>
    </row>
    <row r="39" customFormat="false" ht="12.75" hidden="false" customHeight="false" outlineLevel="0" collapsed="false">
      <c r="B39" s="7"/>
      <c r="C39" s="7"/>
      <c r="D39" s="7" t="str">
        <f aca="false">IF(C39*C38&lt;0,"корень","")</f>
        <v/>
      </c>
    </row>
    <row r="40" customFormat="false" ht="12.75" hidden="false" customHeight="false" outlineLevel="0" collapsed="false">
      <c r="B40" s="7"/>
      <c r="C40" s="7"/>
      <c r="D40" s="7" t="str">
        <f aca="false">IF(C40*C39&lt;0,"корень","")</f>
        <v/>
      </c>
    </row>
    <row r="41" customFormat="false" ht="12.75" hidden="false" customHeight="false" outlineLevel="0" collapsed="false">
      <c r="B41" s="7"/>
      <c r="C41" s="7"/>
      <c r="D41" s="7" t="str">
        <f aca="false">IF(C41*C40&lt;0,"корень","")</f>
        <v/>
      </c>
    </row>
    <row r="42" customFormat="false" ht="12.75" hidden="false" customHeight="false" outlineLevel="0" collapsed="false">
      <c r="B42" s="7"/>
      <c r="C42" s="7"/>
      <c r="D42" s="7" t="str">
        <f aca="false">IF(C42*C41&lt;0,"корень","")</f>
        <v/>
      </c>
    </row>
    <row r="43" customFormat="false" ht="12.75" hidden="false" customHeight="false" outlineLevel="0" collapsed="false">
      <c r="B43" s="7"/>
      <c r="C43" s="7"/>
      <c r="D43" s="7" t="str">
        <f aca="false">IF(C43*C42&lt;0,"корень","")</f>
        <v/>
      </c>
    </row>
    <row r="44" customFormat="false" ht="12.75" hidden="false" customHeight="false" outlineLevel="0" collapsed="false">
      <c r="B44" s="7"/>
      <c r="C44" s="7"/>
      <c r="D44" s="7" t="str">
        <f aca="false">IF(C44*C43&lt;0,"корень","")</f>
        <v/>
      </c>
    </row>
    <row r="45" customFormat="false" ht="12.75" hidden="false" customHeight="false" outlineLevel="0" collapsed="false">
      <c r="B45" s="7"/>
      <c r="C45" s="7"/>
      <c r="D45" s="7"/>
    </row>
    <row r="46" customFormat="false" ht="12.75" hidden="false" customHeight="false" outlineLevel="0" collapsed="false">
      <c r="B46" s="7"/>
      <c r="C46" s="7"/>
      <c r="D46" s="7"/>
    </row>
    <row r="47" customFormat="false" ht="12.75" hidden="false" customHeight="false" outlineLevel="0" collapsed="false">
      <c r="B47" s="7"/>
      <c r="C47" s="7"/>
      <c r="D47" s="7"/>
    </row>
    <row r="48" customFormat="false" ht="12.75" hidden="false" customHeight="false" outlineLevel="0" collapsed="false">
      <c r="B48" s="7"/>
      <c r="C48" s="7"/>
    </row>
    <row r="49" customFormat="false" ht="12.75" hidden="false" customHeight="false" outlineLevel="0" collapsed="false">
      <c r="B49" s="7"/>
      <c r="C49" s="7"/>
    </row>
    <row r="50" customFormat="false" ht="12.75" hidden="false" customHeight="false" outlineLevel="0" collapsed="false">
      <c r="B50" s="7"/>
      <c r="C50" s="7"/>
    </row>
    <row r="51" customFormat="false" ht="12.75" hidden="false" customHeight="false" outlineLevel="0" collapsed="false">
      <c r="B51" s="7"/>
      <c r="C51" s="7"/>
    </row>
    <row r="52" customFormat="false" ht="12.75" hidden="false" customHeight="false" outlineLevel="0" collapsed="false">
      <c r="B52" s="7"/>
      <c r="C52" s="7"/>
    </row>
    <row r="53" customFormat="false" ht="12.75" hidden="false" customHeight="false" outlineLevel="0" collapsed="false">
      <c r="B53" s="7"/>
      <c r="C53" s="7"/>
    </row>
    <row r="54" customFormat="false" ht="12.75" hidden="false" customHeight="false" outlineLevel="0" collapsed="false">
      <c r="B54" s="7"/>
      <c r="C54" s="7"/>
    </row>
    <row r="55" customFormat="false" ht="12.75" hidden="false" customHeight="false" outlineLevel="0" collapsed="false">
      <c r="B55" s="7"/>
      <c r="C55" s="7"/>
    </row>
    <row r="56" customFormat="false" ht="12.75" hidden="false" customHeight="false" outlineLevel="0" collapsed="false">
      <c r="B56" s="7"/>
      <c r="C56" s="7"/>
    </row>
    <row r="57" customFormat="false" ht="12.75" hidden="false" customHeight="false" outlineLevel="0" collapsed="false">
      <c r="B57" s="7"/>
      <c r="C57" s="7"/>
    </row>
    <row r="58" customFormat="false" ht="12.75" hidden="false" customHeight="false" outlineLevel="0" collapsed="false">
      <c r="B58" s="7"/>
      <c r="C58" s="7"/>
    </row>
    <row r="59" customFormat="false" ht="12.75" hidden="false" customHeight="false" outlineLevel="0" collapsed="false">
      <c r="B59" s="7"/>
      <c r="C59" s="7"/>
    </row>
    <row r="60" customFormat="false" ht="12.75" hidden="false" customHeight="false" outlineLevel="0" collapsed="false">
      <c r="B60" s="7"/>
      <c r="C60" s="7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8.58984375" defaultRowHeight="12.8" zeroHeight="false" outlineLevelRow="0" outlineLevelCol="0"/>
  <cols>
    <col collapsed="false" customWidth="true" hidden="false" outlineLevel="0" max="6" min="6" style="0" width="20.19"/>
    <col collapsed="false" customWidth="true" hidden="false" outlineLevel="0" max="13" min="7" style="0" width="9.59"/>
    <col collapsed="false" customWidth="true" hidden="false" outlineLevel="0" max="14" min="14" style="0" width="9"/>
    <col collapsed="false" customWidth="true" hidden="false" outlineLevel="0" max="15" min="15" style="0" width="7.87"/>
    <col collapsed="false" customWidth="true" hidden="false" outlineLevel="0" max="16" min="16" style="0" width="42.57"/>
  </cols>
  <sheetData>
    <row r="1" customFormat="false" ht="15" hidden="false" customHeight="false" outlineLevel="0" collapsed="false">
      <c r="B1" s="1" t="s">
        <v>92</v>
      </c>
      <c r="C1" s="1"/>
      <c r="D1" s="1"/>
      <c r="E1" s="1"/>
      <c r="F1" s="17"/>
    </row>
    <row r="3" customFormat="false" ht="12.8" hidden="false" customHeight="false" outlineLevel="0" collapsed="false">
      <c r="B3" s="4" t="s">
        <v>55</v>
      </c>
      <c r="C3" s="4" t="s">
        <v>56</v>
      </c>
      <c r="D3" s="26" t="s">
        <v>58</v>
      </c>
      <c r="E3" s="27" t="s">
        <v>93</v>
      </c>
      <c r="F3" s="27" t="s">
        <v>57</v>
      </c>
      <c r="G3" s="26" t="s">
        <v>59</v>
      </c>
      <c r="H3" s="4" t="s">
        <v>60</v>
      </c>
      <c r="I3" s="26" t="s">
        <v>61</v>
      </c>
      <c r="J3" s="26" t="s">
        <v>94</v>
      </c>
      <c r="K3" s="18" t="s">
        <v>63</v>
      </c>
      <c r="L3" s="7"/>
      <c r="M3" s="19"/>
      <c r="P3" s="28" t="s">
        <v>8</v>
      </c>
    </row>
    <row r="4" customFormat="false" ht="12.8" hidden="false" customHeight="false" outlineLevel="0" collapsed="false">
      <c r="A4" s="0" t="n">
        <v>1</v>
      </c>
      <c r="B4" s="7" t="n">
        <v>-4.6</v>
      </c>
      <c r="C4" s="7" t="n">
        <v>-4.5</v>
      </c>
      <c r="D4" s="7" t="n">
        <f aca="false">(B4-2)*COS(B4)-1</f>
        <v>-0.259793322228638</v>
      </c>
      <c r="E4" s="7" t="n">
        <f aca="false">(C4-2)*COS(C4)-1</f>
        <v>0.370172696300068</v>
      </c>
      <c r="F4" s="7" t="n">
        <f aca="false">B4-D4*(C4-B4)/(E4-D4)</f>
        <v>-4.55876074032765</v>
      </c>
      <c r="G4" s="7" t="n">
        <f aca="false">(F4-2)*COS(F4)-1</f>
        <v>0.00365199998471333</v>
      </c>
      <c r="H4" s="7" t="n">
        <f aca="false">ABS(G4)</f>
        <v>0.00365199998471333</v>
      </c>
      <c r="I4" s="7" t="n">
        <f aca="false">ABS(B4-C4)</f>
        <v>0.0999999999999996</v>
      </c>
      <c r="J4" s="7" t="str">
        <f aca="false">IF(OR(H4&lt;=$K$4,I4&lt;=$K$4),"корень","")</f>
        <v/>
      </c>
      <c r="K4" s="5" t="n">
        <f aca="false">0.000001</f>
        <v>1E-006</v>
      </c>
      <c r="L4" s="7"/>
      <c r="M4" s="19"/>
      <c r="P4" s="29" t="s">
        <v>64</v>
      </c>
      <c r="Q4" s="0" t="s">
        <v>65</v>
      </c>
    </row>
    <row r="5" customFormat="false" ht="12.8" hidden="false" customHeight="false" outlineLevel="0" collapsed="false">
      <c r="A5" s="0" t="n">
        <v>2</v>
      </c>
      <c r="B5" s="7" t="n">
        <f aca="false">IF(D4*G4&lt;0,B4,F4)</f>
        <v>-4.6</v>
      </c>
      <c r="C5" s="7" t="n">
        <f aca="false">IF(D4*G4&lt;0,F4,C4)</f>
        <v>-4.55876074032765</v>
      </c>
      <c r="D5" s="7" t="n">
        <f aca="false">(B5-2)*COS(B5)-1</f>
        <v>-0.259793322228638</v>
      </c>
      <c r="E5" s="7" t="n">
        <f aca="false">(C5-2)*COS(C5)-1</f>
        <v>0.00365199998471333</v>
      </c>
      <c r="F5" s="7" t="n">
        <f aca="false">B5-D5*(C5-B5)/(E5-D5)</f>
        <v>-4.55933241787511</v>
      </c>
      <c r="G5" s="7" t="n">
        <f aca="false">(F5-2)*COS(F5)-1</f>
        <v>3.36578643855834E-005</v>
      </c>
      <c r="H5" s="7" t="n">
        <f aca="false">ABS(G5)</f>
        <v>3.36578643855834E-005</v>
      </c>
      <c r="I5" s="7" t="n">
        <f aca="false">ABS(B5-C5)</f>
        <v>0.041239259672353</v>
      </c>
      <c r="J5" s="7" t="str">
        <f aca="false">IF(OR(H5&lt;=$K$4,I5&lt;=$K$4),"корень","")</f>
        <v/>
      </c>
      <c r="K5" s="7"/>
      <c r="L5" s="7"/>
      <c r="M5" s="20"/>
      <c r="P5" s="30" t="s">
        <v>95</v>
      </c>
    </row>
    <row r="6" customFormat="false" ht="12.8" hidden="false" customHeight="false" outlineLevel="0" collapsed="false">
      <c r="A6" s="16" t="n">
        <v>3</v>
      </c>
      <c r="B6" s="11" t="n">
        <f aca="false">IF(D5*G5&lt;0,B5,F5)</f>
        <v>-4.6</v>
      </c>
      <c r="C6" s="11" t="n">
        <f aca="false">IF(D5*G5&lt;0,F5,C5)</f>
        <v>-4.55933241787511</v>
      </c>
      <c r="D6" s="11" t="n">
        <f aca="false">(B6-2)*COS(B6)-1</f>
        <v>-0.259793322228638</v>
      </c>
      <c r="E6" s="11" t="n">
        <f aca="false">(C6-2)*COS(C6)-1</f>
        <v>3.36578643855834E-005</v>
      </c>
      <c r="F6" s="11" t="n">
        <f aca="false">B6-D6*(C6-B6)/(E6-D6)</f>
        <v>-4.5593376859345</v>
      </c>
      <c r="G6" s="11" t="n">
        <f aca="false">(F6-2)*COS(F6)-1</f>
        <v>3.09994912184308E-007</v>
      </c>
      <c r="H6" s="11" t="n">
        <f aca="false">ABS(G6)</f>
        <v>3.09994912184308E-007</v>
      </c>
      <c r="I6" s="11" t="n">
        <f aca="false">ABS(B6-C6)</f>
        <v>0.0406675821248923</v>
      </c>
      <c r="J6" s="11" t="str">
        <f aca="false">IF(OR(H6&lt;=$K$4,I6&lt;=$K$4),"корень","")</f>
        <v>корень</v>
      </c>
      <c r="M6" s="20"/>
      <c r="P6" s="29" t="s">
        <v>96</v>
      </c>
    </row>
    <row r="7" customFormat="false" ht="12.8" hidden="false" customHeight="false" outlineLevel="0" collapsed="false">
      <c r="B7" s="7"/>
      <c r="C7" s="7"/>
      <c r="D7" s="7"/>
      <c r="E7" s="7"/>
      <c r="F7" s="7"/>
      <c r="G7" s="7"/>
      <c r="H7" s="7"/>
      <c r="I7" s="7"/>
      <c r="J7" s="7"/>
      <c r="M7" s="20"/>
      <c r="P7" s="30"/>
    </row>
    <row r="8" customFormat="false" ht="12.8" hidden="false" customHeight="false" outlineLevel="0" collapsed="false">
      <c r="B8" s="7"/>
      <c r="C8" s="7"/>
      <c r="D8" s="7"/>
      <c r="E8" s="7"/>
      <c r="F8" s="7"/>
      <c r="G8" s="7"/>
      <c r="H8" s="7"/>
      <c r="I8" s="7"/>
      <c r="J8" s="7"/>
      <c r="M8" s="20"/>
      <c r="P8" s="29"/>
    </row>
    <row r="9" customFormat="false" ht="12.8" hidden="false" customHeight="false" outlineLevel="0" collapsed="false">
      <c r="B9" s="7"/>
      <c r="C9" s="7"/>
      <c r="D9" s="7"/>
      <c r="E9" s="7"/>
      <c r="F9" s="7"/>
      <c r="G9" s="7"/>
      <c r="H9" s="7"/>
      <c r="I9" s="7"/>
      <c r="J9" s="7"/>
      <c r="M9" s="20"/>
      <c r="P9" s="29"/>
    </row>
    <row r="10" customFormat="false" ht="12.8" hidden="false" customHeight="false" outlineLevel="0" collapsed="false">
      <c r="B10" s="7"/>
      <c r="C10" s="7"/>
      <c r="D10" s="7"/>
      <c r="E10" s="7"/>
      <c r="F10" s="7"/>
      <c r="G10" s="7"/>
      <c r="H10" s="7"/>
      <c r="I10" s="7"/>
      <c r="J10" s="7"/>
      <c r="M10" s="20"/>
      <c r="P10" s="29" t="s">
        <v>97</v>
      </c>
    </row>
    <row r="11" customFormat="false" ht="12.8" hidden="false" customHeight="false" outlineLevel="0" collapsed="false">
      <c r="B11" s="7"/>
      <c r="C11" s="7"/>
      <c r="D11" s="7"/>
      <c r="E11" s="7"/>
      <c r="F11" s="7"/>
      <c r="G11" s="7"/>
      <c r="H11" s="7"/>
      <c r="I11" s="7"/>
      <c r="J11" s="7"/>
      <c r="M11" s="20"/>
      <c r="P11" s="29" t="s">
        <v>98</v>
      </c>
    </row>
    <row r="12" customFormat="false" ht="12.8" hidden="false" customHeight="false" outlineLevel="0" collapsed="false">
      <c r="B12" s="7"/>
      <c r="C12" s="7"/>
      <c r="D12" s="7"/>
      <c r="E12" s="7"/>
      <c r="F12" s="7"/>
      <c r="G12" s="7"/>
      <c r="H12" s="7"/>
      <c r="I12" s="7"/>
      <c r="J12" s="7"/>
      <c r="M12" s="20"/>
      <c r="P12" s="30" t="s">
        <v>99</v>
      </c>
      <c r="Q12" s="0" t="s">
        <v>100</v>
      </c>
    </row>
    <row r="13" customFormat="false" ht="12.8" hidden="false" customHeight="false" outlineLevel="0" collapsed="false">
      <c r="B13" s="7"/>
      <c r="C13" s="7"/>
      <c r="D13" s="7"/>
      <c r="E13" s="7"/>
      <c r="F13" s="7"/>
      <c r="G13" s="7"/>
      <c r="H13" s="7"/>
      <c r="I13" s="7"/>
      <c r="J13" s="7"/>
      <c r="M13" s="20"/>
      <c r="P13" s="29" t="s">
        <v>101</v>
      </c>
    </row>
    <row r="14" customFormat="false" ht="12.8" hidden="false" customHeight="false" outlineLevel="0" collapsed="false">
      <c r="B14" s="7"/>
      <c r="C14" s="7"/>
      <c r="D14" s="7"/>
      <c r="E14" s="7"/>
      <c r="F14" s="7"/>
      <c r="G14" s="7"/>
      <c r="H14" s="7"/>
      <c r="I14" s="7"/>
      <c r="J14" s="7"/>
      <c r="M14" s="20"/>
      <c r="P14" s="29" t="s">
        <v>102</v>
      </c>
    </row>
    <row r="15" customFormat="false" ht="12.8" hidden="false" customHeight="false" outlineLevel="0" collapsed="false">
      <c r="B15" s="7"/>
      <c r="C15" s="7"/>
      <c r="D15" s="7"/>
      <c r="E15" s="7"/>
      <c r="F15" s="7"/>
      <c r="G15" s="7"/>
      <c r="H15" s="7"/>
      <c r="I15" s="7"/>
      <c r="J15" s="7"/>
      <c r="M15" s="20"/>
      <c r="P15" s="29" t="s">
        <v>80</v>
      </c>
    </row>
    <row r="16" customFormat="false" ht="12.8" hidden="false" customHeight="false" outlineLevel="0" collapsed="false">
      <c r="B16" s="7"/>
      <c r="C16" s="7"/>
      <c r="D16" s="7"/>
      <c r="E16" s="7"/>
      <c r="F16" s="7"/>
      <c r="G16" s="7"/>
      <c r="H16" s="7"/>
      <c r="I16" s="7"/>
      <c r="J16" s="7"/>
      <c r="M16" s="20"/>
      <c r="P16" s="31" t="s">
        <v>103</v>
      </c>
    </row>
    <row r="17" customFormat="false" ht="12.8" hidden="false" customHeight="false" outlineLevel="0" collapsed="false">
      <c r="B17" s="7"/>
      <c r="C17" s="7"/>
      <c r="D17" s="7"/>
      <c r="E17" s="7"/>
      <c r="F17" s="7"/>
      <c r="G17" s="7"/>
      <c r="H17" s="7"/>
      <c r="I17" s="7"/>
      <c r="J17" s="7"/>
      <c r="M17" s="20"/>
      <c r="P17" s="29" t="s">
        <v>104</v>
      </c>
    </row>
    <row r="18" customFormat="false" ht="12.8" hidden="false" customHeight="false" outlineLevel="0" collapsed="false">
      <c r="B18" s="7"/>
      <c r="C18" s="7"/>
      <c r="D18" s="7"/>
      <c r="E18" s="7"/>
      <c r="F18" s="7"/>
      <c r="G18" s="7"/>
      <c r="H18" s="7"/>
      <c r="I18" s="7"/>
      <c r="J18" s="7"/>
      <c r="M18" s="20"/>
      <c r="P18" s="29" t="s">
        <v>84</v>
      </c>
    </row>
    <row r="19" customFormat="false" ht="12.8" hidden="false" customHeight="false" outlineLevel="0" collapsed="false">
      <c r="B19" s="7"/>
      <c r="C19" s="7"/>
      <c r="D19" s="7"/>
      <c r="E19" s="7"/>
      <c r="F19" s="7"/>
      <c r="G19" s="7"/>
      <c r="H19" s="7"/>
      <c r="I19" s="7"/>
      <c r="J19" s="7"/>
      <c r="M19" s="20"/>
      <c r="P19" s="29" t="s">
        <v>85</v>
      </c>
    </row>
    <row r="20" customFormat="false" ht="12.8" hidden="false" customHeight="false" outlineLevel="0" collapsed="false">
      <c r="B20" s="7"/>
      <c r="C20" s="7"/>
      <c r="D20" s="7"/>
      <c r="E20" s="7"/>
      <c r="F20" s="7"/>
      <c r="G20" s="7"/>
      <c r="H20" s="7"/>
      <c r="I20" s="7"/>
      <c r="J20" s="7"/>
      <c r="M20" s="20"/>
      <c r="P20" s="29" t="s">
        <v>105</v>
      </c>
    </row>
    <row r="21" customFormat="false" ht="12.8" hidden="false" customHeight="false" outlineLevel="0" collapsed="false">
      <c r="B21" s="7"/>
      <c r="C21" s="7"/>
      <c r="D21" s="7"/>
      <c r="E21" s="7"/>
      <c r="F21" s="7"/>
      <c r="G21" s="7"/>
      <c r="H21" s="7"/>
      <c r="I21" s="7"/>
      <c r="J21" s="7"/>
      <c r="M21" s="20"/>
      <c r="P21" s="29" t="s">
        <v>87</v>
      </c>
    </row>
    <row r="22" customFormat="false" ht="12.8" hidden="false" customHeight="false" outlineLevel="0" collapsed="false">
      <c r="B22" s="7"/>
      <c r="C22" s="7"/>
      <c r="M22" s="20"/>
      <c r="P22" s="29" t="s">
        <v>90</v>
      </c>
    </row>
    <row r="23" customFormat="false" ht="12.8" hidden="false" customHeight="false" outlineLevel="0" collapsed="false">
      <c r="M23" s="20"/>
      <c r="P23" s="32" t="s">
        <v>91</v>
      </c>
    </row>
    <row r="24" customFormat="false" ht="12.8" hidden="false" customHeight="false" outlineLevel="0" collapsed="false">
      <c r="M24" s="20"/>
      <c r="O24" s="7"/>
      <c r="P24" s="25"/>
      <c r="Q24" s="7"/>
    </row>
    <row r="25" customFormat="false" ht="12.8" hidden="false" customHeight="false" outlineLevel="0" collapsed="false">
      <c r="O25" s="7"/>
      <c r="P25" s="7"/>
      <c r="Q25" s="7"/>
    </row>
    <row r="26" customFormat="false" ht="12.8" hidden="false" customHeight="false" outlineLevel="0" collapsed="false">
      <c r="O26" s="7"/>
      <c r="P26" s="7"/>
      <c r="Q26" s="7"/>
    </row>
    <row r="27" customFormat="false" ht="12.8" hidden="false" customHeight="false" outlineLevel="0" collapsed="false">
      <c r="O27" s="7"/>
      <c r="P27" s="25"/>
      <c r="Q27" s="7"/>
    </row>
    <row r="28" customFormat="false" ht="12.8" hidden="false" customHeight="false" outlineLevel="0" collapsed="false">
      <c r="O28" s="7"/>
      <c r="P28" s="25"/>
      <c r="Q28" s="7"/>
    </row>
    <row r="29" customFormat="false" ht="12.8" hidden="false" customHeight="false" outlineLevel="0" collapsed="false">
      <c r="O29" s="7"/>
      <c r="P29" s="7"/>
      <c r="Q29" s="7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9" activeCellId="0" sqref="D9"/>
    </sheetView>
  </sheetViews>
  <sheetFormatPr defaultColWidth="8.58984375" defaultRowHeight="12.75" zeroHeight="false" outlineLevelRow="0" outlineLevelCol="0"/>
  <cols>
    <col collapsed="false" customWidth="true" hidden="false" outlineLevel="0" max="10" min="10" style="0" width="12.86"/>
    <col collapsed="false" customWidth="true" hidden="false" outlineLevel="0" max="12" min="12" style="0" width="36.31"/>
    <col collapsed="false" customWidth="true" hidden="false" outlineLevel="0" max="266" min="266" style="0" width="12.86"/>
    <col collapsed="false" customWidth="true" hidden="false" outlineLevel="0" max="268" min="268" style="0" width="36.31"/>
    <col collapsed="false" customWidth="true" hidden="false" outlineLevel="0" max="522" min="522" style="0" width="12.86"/>
    <col collapsed="false" customWidth="true" hidden="false" outlineLevel="0" max="524" min="524" style="0" width="36.31"/>
    <col collapsed="false" customWidth="true" hidden="false" outlineLevel="0" max="778" min="778" style="0" width="12.86"/>
    <col collapsed="false" customWidth="true" hidden="false" outlineLevel="0" max="780" min="780" style="0" width="36.31"/>
  </cols>
  <sheetData>
    <row r="1" customFormat="false" ht="15" hidden="false" customHeight="false" outlineLevel="0" collapsed="false">
      <c r="B1" s="1" t="s">
        <v>106</v>
      </c>
      <c r="C1" s="1"/>
      <c r="D1" s="1"/>
      <c r="E1" s="1"/>
      <c r="F1" s="17"/>
      <c r="G1" s="17"/>
      <c r="H1" s="17"/>
    </row>
    <row r="3" customFormat="false" ht="12.75" hidden="false" customHeight="false" outlineLevel="0" collapsed="false">
      <c r="B3" s="4" t="s">
        <v>55</v>
      </c>
      <c r="C3" s="4" t="s">
        <v>56</v>
      </c>
      <c r="D3" s="4" t="s">
        <v>58</v>
      </c>
      <c r="E3" s="3" t="s">
        <v>93</v>
      </c>
      <c r="F3" s="4" t="s">
        <v>57</v>
      </c>
      <c r="G3" s="4" t="s">
        <v>60</v>
      </c>
      <c r="H3" s="33" t="s">
        <v>107</v>
      </c>
      <c r="I3" s="5" t="s">
        <v>62</v>
      </c>
      <c r="J3" s="18" t="s">
        <v>63</v>
      </c>
      <c r="L3" s="6" t="s">
        <v>8</v>
      </c>
    </row>
    <row r="4" customFormat="false" ht="12.75" hidden="false" customHeight="false" outlineLevel="0" collapsed="false">
      <c r="A4" s="7" t="n">
        <v>1</v>
      </c>
      <c r="B4" s="7" t="n">
        <v>-4.6</v>
      </c>
      <c r="C4" s="7" t="n">
        <v>-4.5</v>
      </c>
      <c r="D4" s="7" t="n">
        <f aca="false">(B4-2)*COS(B4)-1</f>
        <v>-0.259793322228638</v>
      </c>
      <c r="E4" s="7" t="n">
        <f aca="false">(C4-2)*COS(C4)-1</f>
        <v>0.370172696300068</v>
      </c>
      <c r="F4" s="7" t="n">
        <f aca="false">C4-E4*(B4-C4)/(D4-E4)</f>
        <v>-4.55876074032765</v>
      </c>
      <c r="G4" s="7" t="n">
        <f aca="false">ABS((F4-2)*COS(F4)-1)</f>
        <v>0.00365199998471333</v>
      </c>
      <c r="H4" s="19" t="n">
        <f aca="false">ABS(C4-B4)</f>
        <v>0.0999999999999996</v>
      </c>
      <c r="I4" s="19" t="str">
        <f aca="false">IF(OR(G4&lt;=$J$4,H4&lt;=$J$4),"корень","")</f>
        <v/>
      </c>
      <c r="J4" s="5" t="n">
        <v>1E-006</v>
      </c>
      <c r="L4" s="9" t="s">
        <v>108</v>
      </c>
      <c r="M4" s="0" t="s">
        <v>65</v>
      </c>
    </row>
    <row r="5" customFormat="false" ht="12.75" hidden="false" customHeight="false" outlineLevel="0" collapsed="false">
      <c r="A5" s="7" t="n">
        <v>2</v>
      </c>
      <c r="B5" s="7" t="n">
        <f aca="false">IF(D4*G4&lt;0,B4,F4)</f>
        <v>-4.6</v>
      </c>
      <c r="C5" s="7" t="n">
        <f aca="false">IF(D4*G4&lt;0,F4,C4)</f>
        <v>-4.55876074032765</v>
      </c>
      <c r="D5" s="7" t="n">
        <f aca="false">(B5-2)*COS(B5)-1</f>
        <v>-0.259793322228638</v>
      </c>
      <c r="E5" s="7" t="n">
        <f aca="false">(C5-2)*COS(C5)-1</f>
        <v>0.00365199998471333</v>
      </c>
      <c r="F5" s="7" t="n">
        <f aca="false">C5-E5*(B5-C5)/(D5-E5)</f>
        <v>-4.55933241787511</v>
      </c>
      <c r="G5" s="7" t="n">
        <f aca="false">ABS((F5-2)*COS(F5)-1)</f>
        <v>3.36578643855834E-005</v>
      </c>
      <c r="H5" s="19" t="n">
        <f aca="false">ABS(C5-B5)</f>
        <v>0.041239259672353</v>
      </c>
      <c r="I5" s="19" t="str">
        <f aca="false">IF(OR(G5&lt;=$J$4,H5&lt;=$J$4),"корень","")</f>
        <v/>
      </c>
      <c r="J5" s="7"/>
      <c r="L5" s="21" t="s">
        <v>109</v>
      </c>
    </row>
    <row r="6" customFormat="false" ht="12.75" hidden="false" customHeight="false" outlineLevel="0" collapsed="false">
      <c r="A6" s="34" t="n">
        <v>3</v>
      </c>
      <c r="B6" s="34" t="n">
        <f aca="false">IF(D5*G5&lt;0,B5,F5)</f>
        <v>-4.6</v>
      </c>
      <c r="C6" s="34" t="n">
        <f aca="false">IF(D5*G5&lt;0,F5,C5)</f>
        <v>-4.55933241787511</v>
      </c>
      <c r="D6" s="34" t="n">
        <f aca="false">(B6-2)*COS(B6)-1</f>
        <v>-0.259793322228638</v>
      </c>
      <c r="E6" s="34" t="n">
        <f aca="false">(C6-2)*COS(C6)-1</f>
        <v>3.36578643855834E-005</v>
      </c>
      <c r="F6" s="34" t="n">
        <f aca="false">C6-E6*(B6-C6)/(D6-E6)</f>
        <v>-4.5593376859345</v>
      </c>
      <c r="G6" s="34" t="n">
        <f aca="false">ABS((F6-2)*COS(F6)-1)</f>
        <v>3.09994912184308E-007</v>
      </c>
      <c r="H6" s="35" t="n">
        <f aca="false">ABS(C6-B6)</f>
        <v>0.0406675821248923</v>
      </c>
      <c r="I6" s="35" t="str">
        <f aca="false">IF(OR(G6&lt;=$J$4,H6&lt;=$J$4),"корень","")</f>
        <v>корень</v>
      </c>
      <c r="J6" s="7"/>
      <c r="L6" s="21" t="s">
        <v>110</v>
      </c>
    </row>
    <row r="7" customFormat="false" ht="12.75" hidden="false" customHeight="false" outlineLevel="0" collapsed="false">
      <c r="A7" s="7"/>
      <c r="B7" s="36"/>
      <c r="C7" s="36"/>
      <c r="D7" s="36"/>
      <c r="E7" s="36"/>
      <c r="F7" s="36"/>
      <c r="G7" s="36"/>
      <c r="H7" s="37"/>
      <c r="I7" s="37"/>
      <c r="L7" s="9" t="s">
        <v>111</v>
      </c>
    </row>
    <row r="8" customFormat="false" ht="12.75" hidden="false" customHeight="false" outlineLevel="0" collapsed="false">
      <c r="A8" s="7"/>
      <c r="B8" s="36"/>
      <c r="C8" s="36"/>
      <c r="D8" s="36"/>
      <c r="E8" s="36"/>
      <c r="F8" s="36"/>
      <c r="G8" s="36"/>
      <c r="H8" s="37"/>
      <c r="I8" s="37"/>
      <c r="L8" s="9" t="s">
        <v>112</v>
      </c>
    </row>
    <row r="9" customFormat="false" ht="12.75" hidden="false" customHeight="false" outlineLevel="0" collapsed="false">
      <c r="B9" s="36"/>
      <c r="C9" s="36"/>
      <c r="D9" s="36"/>
      <c r="E9" s="36"/>
      <c r="F9" s="36"/>
      <c r="G9" s="36"/>
      <c r="H9" s="37"/>
      <c r="I9" s="37"/>
      <c r="L9" s="9" t="s">
        <v>72</v>
      </c>
    </row>
    <row r="10" customFormat="false" ht="12.75" hidden="false" customHeight="false" outlineLevel="0" collapsed="false">
      <c r="B10" s="36"/>
      <c r="C10" s="36"/>
      <c r="D10" s="36"/>
      <c r="E10" s="36"/>
      <c r="F10" s="36"/>
      <c r="G10" s="36"/>
      <c r="H10" s="37"/>
      <c r="I10" s="37"/>
      <c r="L10" s="9" t="s">
        <v>74</v>
      </c>
    </row>
    <row r="11" customFormat="false" ht="12.75" hidden="false" customHeight="false" outlineLevel="0" collapsed="false">
      <c r="B11" s="36"/>
      <c r="C11" s="36"/>
      <c r="D11" s="36"/>
      <c r="E11" s="36"/>
      <c r="F11" s="36"/>
      <c r="G11" s="36"/>
      <c r="H11" s="37"/>
      <c r="I11" s="37"/>
      <c r="L11" s="9" t="s">
        <v>113</v>
      </c>
    </row>
    <row r="12" customFormat="false" ht="12.75" hidden="false" customHeight="false" outlineLevel="0" collapsed="false">
      <c r="B12" s="36"/>
      <c r="C12" s="36"/>
      <c r="D12" s="36"/>
      <c r="E12" s="36"/>
      <c r="F12" s="36"/>
      <c r="G12" s="36"/>
      <c r="H12" s="37"/>
      <c r="I12" s="37"/>
      <c r="L12" s="9" t="s">
        <v>114</v>
      </c>
    </row>
    <row r="13" customFormat="false" ht="12.75" hidden="false" customHeight="false" outlineLevel="0" collapsed="false">
      <c r="B13" s="36"/>
      <c r="C13" s="36"/>
      <c r="D13" s="36"/>
      <c r="E13" s="36"/>
      <c r="F13" s="36"/>
      <c r="G13" s="36"/>
      <c r="H13" s="37"/>
      <c r="I13" s="37"/>
      <c r="L13" s="9" t="s">
        <v>115</v>
      </c>
    </row>
    <row r="14" customFormat="false" ht="12.75" hidden="false" customHeight="false" outlineLevel="0" collapsed="false">
      <c r="B14" s="36"/>
      <c r="C14" s="36"/>
      <c r="D14" s="36"/>
      <c r="E14" s="36"/>
      <c r="F14" s="36"/>
      <c r="G14" s="36"/>
      <c r="H14" s="37"/>
      <c r="I14" s="37"/>
      <c r="L14" s="13" t="s">
        <v>116</v>
      </c>
    </row>
    <row r="15" customFormat="false" ht="12.75" hidden="false" customHeight="false" outlineLevel="0" collapsed="false">
      <c r="B15" s="36"/>
      <c r="C15" s="36"/>
      <c r="D15" s="36"/>
      <c r="E15" s="36"/>
      <c r="F15" s="36"/>
      <c r="G15" s="36"/>
      <c r="H15" s="37"/>
      <c r="I15" s="37"/>
      <c r="L15" s="38"/>
    </row>
    <row r="16" customFormat="false" ht="12.75" hidden="false" customHeight="false" outlineLevel="0" collapsed="false">
      <c r="B16" s="36"/>
      <c r="C16" s="36"/>
      <c r="D16" s="36"/>
      <c r="E16" s="36"/>
      <c r="F16" s="36"/>
      <c r="G16" s="36"/>
      <c r="H16" s="37"/>
      <c r="I16" s="37"/>
      <c r="L16" s="38"/>
    </row>
    <row r="17" customFormat="false" ht="12.75" hidden="false" customHeight="false" outlineLevel="0" collapsed="false">
      <c r="B17" s="36"/>
      <c r="C17" s="36"/>
      <c r="D17" s="36"/>
      <c r="E17" s="36"/>
      <c r="F17" s="36"/>
      <c r="G17" s="36"/>
      <c r="H17" s="37"/>
      <c r="I17" s="37"/>
      <c r="L17" s="38"/>
    </row>
    <row r="18" customFormat="false" ht="12.75" hidden="false" customHeight="false" outlineLevel="0" collapsed="false">
      <c r="B18" s="36"/>
      <c r="C18" s="36"/>
      <c r="D18" s="36"/>
      <c r="E18" s="36"/>
      <c r="F18" s="36"/>
      <c r="G18" s="36"/>
      <c r="H18" s="37"/>
      <c r="I18" s="37"/>
      <c r="L18" s="38"/>
    </row>
    <row r="19" customFormat="false" ht="12.75" hidden="false" customHeight="false" outlineLevel="0" collapsed="false">
      <c r="B19" s="36"/>
      <c r="C19" s="36"/>
      <c r="D19" s="36"/>
      <c r="E19" s="36"/>
      <c r="F19" s="36"/>
      <c r="G19" s="36"/>
      <c r="H19" s="37"/>
      <c r="I19" s="37"/>
      <c r="L19" s="38"/>
    </row>
    <row r="20" customFormat="false" ht="12.75" hidden="false" customHeight="false" outlineLevel="0" collapsed="false">
      <c r="B20" s="36"/>
      <c r="C20" s="36"/>
      <c r="D20" s="36"/>
      <c r="E20" s="36"/>
      <c r="F20" s="36"/>
      <c r="G20" s="36"/>
      <c r="H20" s="37"/>
      <c r="I20" s="37"/>
      <c r="L20" s="38"/>
    </row>
    <row r="21" customFormat="false" ht="12.75" hidden="false" customHeight="false" outlineLevel="0" collapsed="false">
      <c r="B21" s="36"/>
      <c r="C21" s="36"/>
      <c r="D21" s="36"/>
      <c r="E21" s="36"/>
      <c r="F21" s="36"/>
      <c r="G21" s="36"/>
      <c r="H21" s="37"/>
      <c r="I21" s="37"/>
      <c r="L21" s="38"/>
    </row>
    <row r="22" customFormat="false" ht="12.75" hidden="false" customHeight="false" outlineLevel="0" collapsed="false">
      <c r="B22" s="36"/>
      <c r="C22" s="36"/>
      <c r="D22" s="36"/>
      <c r="E22" s="36"/>
      <c r="F22" s="36"/>
      <c r="G22" s="36"/>
      <c r="H22" s="37"/>
      <c r="I22" s="37"/>
      <c r="L22" s="38"/>
    </row>
    <row r="23" customFormat="false" ht="12.75" hidden="false" customHeight="false" outlineLevel="0" collapsed="false">
      <c r="B23" s="36"/>
      <c r="C23" s="36"/>
      <c r="D23" s="36"/>
      <c r="E23" s="36"/>
      <c r="F23" s="36"/>
      <c r="G23" s="36"/>
      <c r="H23" s="37"/>
      <c r="I23" s="37"/>
    </row>
    <row r="24" customFormat="false" ht="12.75" hidden="false" customHeight="false" outlineLevel="0" collapsed="false">
      <c r="B24" s="36"/>
      <c r="C24" s="36"/>
      <c r="D24" s="36"/>
      <c r="E24" s="36"/>
      <c r="F24" s="36"/>
      <c r="G24" s="36"/>
      <c r="H24" s="37"/>
      <c r="I24" s="37"/>
      <c r="L24" s="7"/>
    </row>
    <row r="25" customFormat="false" ht="12.75" hidden="false" customHeight="false" outlineLevel="0" collapsed="false">
      <c r="B25" s="36"/>
      <c r="C25" s="36"/>
      <c r="D25" s="36"/>
      <c r="E25" s="36"/>
      <c r="F25" s="36"/>
      <c r="G25" s="36"/>
      <c r="H25" s="37"/>
      <c r="I25" s="37"/>
      <c r="L25" s="25"/>
    </row>
    <row r="26" customFormat="false" ht="12.75" hidden="false" customHeight="false" outlineLevel="0" collapsed="false">
      <c r="B26" s="36"/>
      <c r="C26" s="36"/>
      <c r="D26" s="36"/>
      <c r="E26" s="36"/>
      <c r="F26" s="36"/>
      <c r="G26" s="36"/>
      <c r="H26" s="37"/>
      <c r="I26" s="37"/>
      <c r="L26" s="7"/>
    </row>
    <row r="27" customFormat="false" ht="12.75" hidden="false" customHeight="false" outlineLevel="0" collapsed="false">
      <c r="B27" s="36"/>
      <c r="C27" s="36"/>
      <c r="D27" s="36"/>
      <c r="E27" s="36"/>
      <c r="F27" s="36"/>
      <c r="G27" s="36"/>
      <c r="H27" s="37"/>
      <c r="I27" s="37"/>
      <c r="L27" s="25"/>
    </row>
    <row r="28" customFormat="false" ht="12.75" hidden="false" customHeight="false" outlineLevel="0" collapsed="false">
      <c r="B28" s="36"/>
      <c r="C28" s="36"/>
      <c r="D28" s="36"/>
      <c r="E28" s="36"/>
      <c r="F28" s="36"/>
      <c r="G28" s="36"/>
      <c r="H28" s="37"/>
      <c r="I28" s="37"/>
      <c r="L28" s="25"/>
    </row>
    <row r="29" customFormat="false" ht="12.75" hidden="false" customHeight="false" outlineLevel="0" collapsed="false">
      <c r="B29" s="36"/>
      <c r="C29" s="36"/>
      <c r="D29" s="36"/>
      <c r="E29" s="36"/>
      <c r="F29" s="36"/>
      <c r="G29" s="36"/>
      <c r="H29" s="37"/>
      <c r="I29" s="37"/>
      <c r="L29" s="25"/>
    </row>
    <row r="30" customFormat="false" ht="12.75" hidden="false" customHeight="false" outlineLevel="0" collapsed="false">
      <c r="B30" s="36"/>
      <c r="C30" s="36"/>
      <c r="D30" s="36"/>
      <c r="E30" s="36"/>
      <c r="F30" s="36"/>
      <c r="G30" s="36"/>
      <c r="H30" s="37"/>
      <c r="I30" s="37"/>
      <c r="L30" s="25"/>
    </row>
    <row r="31" customFormat="false" ht="12.75" hidden="false" customHeight="false" outlineLevel="0" collapsed="false">
      <c r="B31" s="36"/>
      <c r="C31" s="36"/>
      <c r="D31" s="36"/>
      <c r="E31" s="36"/>
      <c r="F31" s="36"/>
      <c r="G31" s="36"/>
      <c r="H31" s="37"/>
      <c r="I31" s="37"/>
      <c r="L31" s="25"/>
    </row>
    <row r="32" customFormat="false" ht="12.75" hidden="false" customHeight="false" outlineLevel="0" collapsed="false">
      <c r="B32" s="36"/>
      <c r="C32" s="36"/>
      <c r="D32" s="36"/>
      <c r="E32" s="36"/>
      <c r="F32" s="36"/>
      <c r="G32" s="36"/>
      <c r="H32" s="37"/>
      <c r="I32" s="37"/>
    </row>
    <row r="33" customFormat="false" ht="12.75" hidden="false" customHeight="false" outlineLevel="0" collapsed="false">
      <c r="B33" s="36"/>
      <c r="C33" s="36"/>
      <c r="D33" s="36"/>
      <c r="E33" s="36"/>
      <c r="F33" s="36"/>
      <c r="G33" s="36"/>
      <c r="H33" s="37"/>
      <c r="I33" s="37"/>
    </row>
    <row r="34" customFormat="false" ht="12.75" hidden="false" customHeight="false" outlineLevel="0" collapsed="false">
      <c r="B34" s="36"/>
      <c r="C34" s="36"/>
      <c r="D34" s="36"/>
      <c r="E34" s="36"/>
      <c r="F34" s="36"/>
      <c r="G34" s="36"/>
      <c r="H34" s="37"/>
      <c r="I34" s="37"/>
    </row>
    <row r="35" customFormat="false" ht="12.75" hidden="false" customHeight="false" outlineLevel="0" collapsed="false">
      <c r="B35" s="36"/>
      <c r="C35" s="36"/>
      <c r="D35" s="36"/>
      <c r="E35" s="36"/>
      <c r="F35" s="36"/>
      <c r="G35" s="36"/>
      <c r="H35" s="37"/>
      <c r="I35" s="37"/>
    </row>
    <row r="36" customFormat="false" ht="12.75" hidden="false" customHeight="false" outlineLevel="0" collapsed="false">
      <c r="B36" s="36"/>
      <c r="C36" s="36"/>
      <c r="D36" s="36"/>
      <c r="E36" s="36"/>
      <c r="F36" s="36"/>
      <c r="G36" s="36"/>
      <c r="H36" s="37"/>
      <c r="I36" s="37"/>
    </row>
    <row r="37" customFormat="false" ht="12.75" hidden="false" customHeight="false" outlineLevel="0" collapsed="false">
      <c r="B37" s="36"/>
      <c r="C37" s="36"/>
      <c r="D37" s="36"/>
      <c r="E37" s="36"/>
      <c r="F37" s="36"/>
      <c r="G37" s="36"/>
      <c r="H37" s="37"/>
      <c r="I37" s="37"/>
    </row>
    <row r="38" customFormat="false" ht="12.75" hidden="false" customHeight="false" outlineLevel="0" collapsed="false">
      <c r="B38" s="36"/>
      <c r="C38" s="36"/>
      <c r="D38" s="36"/>
      <c r="E38" s="36"/>
      <c r="F38" s="36"/>
      <c r="G38" s="36"/>
      <c r="H38" s="37"/>
      <c r="I38" s="37"/>
    </row>
    <row r="39" customFormat="false" ht="12.75" hidden="false" customHeight="false" outlineLevel="0" collapsed="false">
      <c r="B39" s="36"/>
      <c r="C39" s="36"/>
      <c r="D39" s="36"/>
      <c r="E39" s="36"/>
      <c r="F39" s="36"/>
      <c r="G39" s="36"/>
      <c r="H39" s="37"/>
      <c r="I39" s="37"/>
    </row>
    <row r="40" customFormat="false" ht="12.75" hidden="false" customHeight="false" outlineLevel="0" collapsed="false">
      <c r="B40" s="36"/>
      <c r="C40" s="36"/>
      <c r="D40" s="36"/>
      <c r="E40" s="36"/>
      <c r="F40" s="36"/>
      <c r="G40" s="36"/>
      <c r="H40" s="37"/>
      <c r="I40" s="37"/>
    </row>
    <row r="41" customFormat="false" ht="12.75" hidden="false" customHeight="false" outlineLevel="0" collapsed="false">
      <c r="B41" s="36"/>
      <c r="C41" s="36"/>
      <c r="D41" s="36"/>
      <c r="E41" s="36"/>
      <c r="F41" s="36"/>
      <c r="G41" s="36"/>
      <c r="H41" s="37"/>
      <c r="I41" s="37"/>
    </row>
    <row r="42" customFormat="false" ht="12.75" hidden="false" customHeight="false" outlineLevel="0" collapsed="false">
      <c r="B42" s="36"/>
      <c r="C42" s="36"/>
      <c r="D42" s="36"/>
      <c r="E42" s="36"/>
      <c r="F42" s="36"/>
      <c r="G42" s="36"/>
      <c r="H42" s="37"/>
      <c r="I42" s="37"/>
    </row>
    <row r="43" customFormat="false" ht="12.75" hidden="false" customHeight="false" outlineLevel="0" collapsed="false">
      <c r="B43" s="36"/>
      <c r="C43" s="36"/>
      <c r="D43" s="36"/>
      <c r="E43" s="36"/>
      <c r="F43" s="36"/>
      <c r="G43" s="36"/>
      <c r="H43" s="37"/>
      <c r="I43" s="37"/>
    </row>
    <row r="44" customFormat="false" ht="12.75" hidden="false" customHeight="false" outlineLevel="0" collapsed="false">
      <c r="B44" s="36"/>
      <c r="C44" s="36"/>
      <c r="D44" s="36"/>
      <c r="E44" s="36"/>
      <c r="F44" s="36"/>
      <c r="G44" s="36"/>
      <c r="H44" s="37"/>
      <c r="I44" s="37"/>
    </row>
    <row r="45" customFormat="false" ht="12.75" hidden="false" customHeight="false" outlineLevel="0" collapsed="false">
      <c r="B45" s="36"/>
      <c r="C45" s="36"/>
      <c r="D45" s="36"/>
      <c r="E45" s="36"/>
      <c r="F45" s="36"/>
      <c r="G45" s="36"/>
      <c r="H45" s="37"/>
      <c r="I45" s="37"/>
    </row>
    <row r="46" customFormat="false" ht="12.75" hidden="false" customHeight="false" outlineLevel="0" collapsed="false">
      <c r="B46" s="36"/>
      <c r="C46" s="36"/>
      <c r="D46" s="36"/>
      <c r="E46" s="36"/>
      <c r="F46" s="36"/>
      <c r="G46" s="36"/>
      <c r="H46" s="37"/>
      <c r="I46" s="37"/>
    </row>
    <row r="47" customFormat="false" ht="12.75" hidden="false" customHeight="false" outlineLevel="0" collapsed="false">
      <c r="B47" s="36"/>
      <c r="C47" s="36"/>
      <c r="D47" s="36"/>
      <c r="E47" s="36"/>
      <c r="F47" s="36"/>
      <c r="G47" s="36"/>
      <c r="H47" s="37"/>
      <c r="I47" s="37"/>
    </row>
    <row r="48" customFormat="false" ht="12.75" hidden="false" customHeight="false" outlineLevel="0" collapsed="false">
      <c r="B48" s="36"/>
      <c r="C48" s="36"/>
      <c r="D48" s="36"/>
      <c r="E48" s="36"/>
      <c r="F48" s="36"/>
      <c r="G48" s="36"/>
      <c r="H48" s="37"/>
      <c r="I48" s="37"/>
    </row>
    <row r="49" customFormat="false" ht="12.75" hidden="false" customHeight="false" outlineLevel="0" collapsed="false">
      <c r="B49" s="36"/>
      <c r="C49" s="36"/>
      <c r="D49" s="36"/>
      <c r="E49" s="36"/>
      <c r="F49" s="36"/>
      <c r="G49" s="36"/>
      <c r="H49" s="37"/>
      <c r="I49" s="37"/>
    </row>
    <row r="50" customFormat="false" ht="12.75" hidden="false" customHeight="false" outlineLevel="0" collapsed="false">
      <c r="B50" s="36"/>
      <c r="C50" s="36"/>
      <c r="D50" s="36"/>
      <c r="E50" s="36"/>
      <c r="F50" s="36"/>
      <c r="G50" s="36"/>
      <c r="H50" s="37"/>
      <c r="I50" s="37"/>
    </row>
    <row r="51" customFormat="false" ht="12.75" hidden="false" customHeight="false" outlineLevel="0" collapsed="false">
      <c r="B51" s="36"/>
      <c r="C51" s="36"/>
      <c r="D51" s="36"/>
      <c r="E51" s="36"/>
      <c r="F51" s="36"/>
      <c r="G51" s="36"/>
      <c r="H51" s="37"/>
      <c r="I51" s="37"/>
    </row>
    <row r="52" customFormat="false" ht="12.75" hidden="false" customHeight="false" outlineLevel="0" collapsed="false">
      <c r="B52" s="36"/>
      <c r="C52" s="36"/>
      <c r="D52" s="36"/>
      <c r="E52" s="36"/>
      <c r="F52" s="36"/>
      <c r="G52" s="36"/>
      <c r="H52" s="37"/>
      <c r="I52" s="37"/>
    </row>
    <row r="53" customFormat="false" ht="12.75" hidden="false" customHeight="false" outlineLevel="0" collapsed="false">
      <c r="B53" s="36"/>
      <c r="C53" s="36"/>
      <c r="D53" s="36"/>
      <c r="E53" s="36"/>
      <c r="F53" s="36"/>
      <c r="G53" s="36"/>
      <c r="H53" s="37"/>
      <c r="I53" s="37"/>
    </row>
    <row r="54" customFormat="false" ht="12.75" hidden="false" customHeight="false" outlineLevel="0" collapsed="false">
      <c r="B54" s="36"/>
      <c r="C54" s="36"/>
      <c r="D54" s="36"/>
      <c r="E54" s="36"/>
      <c r="F54" s="36"/>
      <c r="G54" s="36"/>
      <c r="H54" s="37"/>
      <c r="I54" s="37"/>
    </row>
    <row r="55" customFormat="false" ht="12.75" hidden="false" customHeight="false" outlineLevel="0" collapsed="false">
      <c r="B55" s="36"/>
      <c r="C55" s="36"/>
      <c r="D55" s="36"/>
      <c r="E55" s="36"/>
      <c r="F55" s="36"/>
      <c r="G55" s="36"/>
      <c r="H55" s="37"/>
      <c r="I55" s="37"/>
    </row>
    <row r="56" customFormat="false" ht="12.75" hidden="false" customHeight="false" outlineLevel="0" collapsed="false">
      <c r="B56" s="36"/>
      <c r="C56" s="36"/>
      <c r="D56" s="36"/>
      <c r="E56" s="36"/>
      <c r="F56" s="36"/>
      <c r="G56" s="36"/>
      <c r="H56" s="37"/>
      <c r="I56" s="37"/>
    </row>
    <row r="57" customFormat="false" ht="12.75" hidden="false" customHeight="false" outlineLevel="0" collapsed="false">
      <c r="B57" s="36"/>
      <c r="C57" s="36"/>
      <c r="D57" s="36"/>
      <c r="E57" s="36"/>
      <c r="F57" s="36"/>
      <c r="G57" s="36"/>
      <c r="H57" s="37"/>
      <c r="I57" s="37"/>
    </row>
    <row r="58" customFormat="false" ht="12.75" hidden="false" customHeight="false" outlineLevel="0" collapsed="false">
      <c r="B58" s="36"/>
      <c r="C58" s="36"/>
      <c r="D58" s="36"/>
      <c r="E58" s="36"/>
      <c r="F58" s="36"/>
      <c r="G58" s="36"/>
      <c r="H58" s="37"/>
      <c r="I58" s="37"/>
    </row>
    <row r="59" customFormat="false" ht="12.75" hidden="false" customHeight="false" outlineLevel="0" collapsed="false">
      <c r="B59" s="36"/>
      <c r="C59" s="36"/>
      <c r="D59" s="36"/>
      <c r="E59" s="36"/>
      <c r="F59" s="36"/>
      <c r="G59" s="36"/>
      <c r="H59" s="37"/>
      <c r="I59" s="37"/>
    </row>
    <row r="60" customFormat="false" ht="12.75" hidden="false" customHeight="false" outlineLevel="0" collapsed="false">
      <c r="B60" s="36"/>
      <c r="C60" s="36"/>
      <c r="D60" s="36"/>
      <c r="E60" s="36"/>
      <c r="F60" s="36"/>
      <c r="G60" s="36"/>
      <c r="H60" s="37"/>
      <c r="I60" s="37"/>
    </row>
    <row r="61" customFormat="false" ht="12.75" hidden="false" customHeight="false" outlineLevel="0" collapsed="false">
      <c r="B61" s="36"/>
      <c r="C61" s="36"/>
      <c r="D61" s="36"/>
      <c r="E61" s="36"/>
      <c r="F61" s="36"/>
      <c r="G61" s="36"/>
      <c r="H61" s="37"/>
      <c r="I61" s="37"/>
    </row>
    <row r="62" customFormat="false" ht="12.75" hidden="false" customHeight="false" outlineLevel="0" collapsed="false">
      <c r="B62" s="36"/>
      <c r="C62" s="36"/>
      <c r="D62" s="36"/>
      <c r="E62" s="36"/>
      <c r="F62" s="36"/>
      <c r="G62" s="36"/>
      <c r="H62" s="37"/>
      <c r="I62" s="37"/>
    </row>
    <row r="63" customFormat="false" ht="12.75" hidden="false" customHeight="false" outlineLevel="0" collapsed="false">
      <c r="B63" s="36"/>
      <c r="C63" s="36"/>
      <c r="D63" s="36"/>
      <c r="E63" s="36"/>
      <c r="F63" s="36"/>
      <c r="G63" s="36"/>
      <c r="H63" s="37"/>
      <c r="I63" s="37"/>
    </row>
    <row r="64" customFormat="false" ht="12.75" hidden="false" customHeight="false" outlineLevel="0" collapsed="false">
      <c r="B64" s="36"/>
      <c r="C64" s="36"/>
      <c r="D64" s="36"/>
      <c r="E64" s="36"/>
      <c r="F64" s="36"/>
      <c r="G64" s="36"/>
      <c r="H64" s="37"/>
      <c r="I64" s="37"/>
    </row>
    <row r="65" customFormat="false" ht="12.75" hidden="false" customHeight="false" outlineLevel="0" collapsed="false">
      <c r="B65" s="36"/>
      <c r="C65" s="36"/>
      <c r="D65" s="36"/>
      <c r="E65" s="36"/>
      <c r="F65" s="36"/>
      <c r="G65" s="36"/>
      <c r="H65" s="37"/>
      <c r="I65" s="37"/>
    </row>
    <row r="66" customFormat="false" ht="12.75" hidden="false" customHeight="false" outlineLevel="0" collapsed="false">
      <c r="B66" s="36"/>
      <c r="C66" s="36"/>
      <c r="D66" s="36"/>
      <c r="E66" s="36"/>
      <c r="F66" s="36"/>
      <c r="G66" s="36"/>
      <c r="H66" s="37"/>
      <c r="I66" s="37"/>
    </row>
    <row r="67" customFormat="false" ht="12.75" hidden="false" customHeight="false" outlineLevel="0" collapsed="false">
      <c r="B67" s="36"/>
      <c r="C67" s="36"/>
      <c r="D67" s="36"/>
      <c r="E67" s="36"/>
      <c r="F67" s="36"/>
      <c r="G67" s="36"/>
      <c r="H67" s="37"/>
      <c r="I67" s="37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5" activeCellId="0" sqref="C5"/>
    </sheetView>
  </sheetViews>
  <sheetFormatPr defaultColWidth="8.58984375" defaultRowHeight="12.75" zeroHeight="false" outlineLevelRow="0" outlineLevelCol="0"/>
  <cols>
    <col collapsed="false" customWidth="true" hidden="false" outlineLevel="0" max="4" min="4" style="0" width="23.61"/>
    <col collapsed="false" customWidth="true" hidden="false" outlineLevel="0" max="9" min="9" style="0" width="13.29"/>
    <col collapsed="false" customWidth="true" hidden="false" outlineLevel="0" max="11" min="11" style="0" width="36.14"/>
    <col collapsed="false" customWidth="true" hidden="false" outlineLevel="0" max="265" min="265" style="0" width="13.29"/>
    <col collapsed="false" customWidth="true" hidden="false" outlineLevel="0" max="267" min="267" style="0" width="36.14"/>
    <col collapsed="false" customWidth="true" hidden="false" outlineLevel="0" max="521" min="521" style="0" width="13.29"/>
    <col collapsed="false" customWidth="true" hidden="false" outlineLevel="0" max="523" min="523" style="0" width="36.14"/>
    <col collapsed="false" customWidth="true" hidden="false" outlineLevel="0" max="777" min="777" style="0" width="13.29"/>
    <col collapsed="false" customWidth="true" hidden="false" outlineLevel="0" max="779" min="779" style="0" width="36.14"/>
  </cols>
  <sheetData>
    <row r="1" customFormat="false" ht="15" hidden="false" customHeight="false" outlineLevel="0" collapsed="false">
      <c r="B1" s="1" t="s">
        <v>117</v>
      </c>
      <c r="C1" s="1"/>
      <c r="D1" s="1"/>
      <c r="E1" s="1"/>
      <c r="F1" s="1"/>
      <c r="G1" s="39"/>
    </row>
    <row r="3" customFormat="false" ht="13.8" hidden="false" customHeight="false" outlineLevel="0" collapsed="false">
      <c r="A3" s="0" t="s">
        <v>118</v>
      </c>
      <c r="B3" s="4" t="s">
        <v>119</v>
      </c>
      <c r="C3" s="4" t="s">
        <v>58</v>
      </c>
      <c r="D3" s="40" t="s">
        <v>120</v>
      </c>
      <c r="E3" s="4" t="s">
        <v>121</v>
      </c>
      <c r="F3" s="4" t="s">
        <v>122</v>
      </c>
      <c r="G3" s="4" t="s">
        <v>123</v>
      </c>
      <c r="H3" s="5" t="s">
        <v>62</v>
      </c>
      <c r="I3" s="18" t="s">
        <v>63</v>
      </c>
      <c r="K3" s="6" t="s">
        <v>8</v>
      </c>
    </row>
    <row r="4" customFormat="false" ht="12.75" hidden="false" customHeight="false" outlineLevel="0" collapsed="false">
      <c r="B4" s="7" t="n">
        <v>-5</v>
      </c>
      <c r="C4" s="7" t="n">
        <f aca="false">(B4-2)*COS(B4)-1</f>
        <v>-2.98563529824258</v>
      </c>
      <c r="D4" s="7" t="n">
        <f aca="false">COS(B4)-(B4-2)*SIN(B4)</f>
        <v>6.9961321081052</v>
      </c>
      <c r="E4" s="19" t="n">
        <f aca="false">B4-C4/D4</f>
        <v>-4.57324486557599</v>
      </c>
      <c r="F4" s="19" t="n">
        <f aca="false">ABS((E4-2)*COS(E4)-1)</f>
        <v>0.0883201721116151</v>
      </c>
      <c r="G4" s="19" t="n">
        <f aca="false">ABS(E4-B4)</f>
        <v>0.426755134424012</v>
      </c>
      <c r="H4" s="19" t="str">
        <f aca="false">IF(OR(F4&lt;=$I$4,G4&lt;=$I$4),"корень","")</f>
        <v/>
      </c>
      <c r="I4" s="5" t="n">
        <v>1E-006</v>
      </c>
      <c r="K4" s="9" t="s">
        <v>124</v>
      </c>
      <c r="L4" s="0" t="s">
        <v>125</v>
      </c>
    </row>
    <row r="5" customFormat="false" ht="12.75" hidden="false" customHeight="false" outlineLevel="0" collapsed="false">
      <c r="B5" s="7" t="n">
        <f aca="false">E4</f>
        <v>-4.57324486557599</v>
      </c>
      <c r="C5" s="7" t="n">
        <f aca="false">(B5-2)*COS(B5)-1</f>
        <v>-0.0883201721116151</v>
      </c>
      <c r="D5" s="7" t="n">
        <f aca="false">COS(B5)-(B5-2)*SIN(B5)</f>
        <v>6.37101933796598</v>
      </c>
      <c r="E5" s="19" t="n">
        <f aca="false">B5-C5/D5</f>
        <v>-4.55938206475457</v>
      </c>
      <c r="F5" s="19" t="n">
        <f aca="false">ABS((E5-2)*COS(E5)-1)</f>
        <v>0.000280620089930905</v>
      </c>
      <c r="G5" s="19" t="n">
        <f aca="false">ABS(E5-B5)</f>
        <v>0.0138628008214168</v>
      </c>
      <c r="H5" s="19" t="str">
        <f aca="false">IF(OR(F5&lt;=$I$4,G5&lt;=$I$4),"корень","")</f>
        <v/>
      </c>
      <c r="I5" s="7"/>
      <c r="K5" s="21" t="s">
        <v>126</v>
      </c>
    </row>
    <row r="6" customFormat="false" ht="12.75" hidden="false" customHeight="false" outlineLevel="0" collapsed="false">
      <c r="B6" s="7" t="n">
        <f aca="false">E5</f>
        <v>-4.55938206475457</v>
      </c>
      <c r="C6" s="7" t="n">
        <f aca="false">(B6-2)*COS(B6)-1</f>
        <v>-0.000280620089930905</v>
      </c>
      <c r="D6" s="7" t="n">
        <f aca="false">COS(B6)-(B6-2)*SIN(B6)</f>
        <v>6.33033991084252</v>
      </c>
      <c r="E6" s="19" t="n">
        <f aca="false">B6-C6/D6</f>
        <v>-4.55933773536723</v>
      </c>
      <c r="F6" s="19" t="n">
        <f aca="false">ABS((E6-2)*COS(E6)-1)</f>
        <v>2.92449431338326E-009</v>
      </c>
      <c r="G6" s="19" t="n">
        <f aca="false">ABS(E6-B6)</f>
        <v>4.4329387344888E-005</v>
      </c>
      <c r="H6" s="19" t="str">
        <f aca="false">IF(OR(F6&lt;=$I$4,G6&lt;=$I$4),"корень","")</f>
        <v>корень</v>
      </c>
      <c r="I6" s="7"/>
      <c r="K6" s="21" t="s">
        <v>127</v>
      </c>
    </row>
    <row r="7" customFormat="false" ht="12.75" hidden="false" customHeight="false" outlineLevel="0" collapsed="false">
      <c r="B7" s="7"/>
      <c r="C7" s="7"/>
      <c r="D7" s="7"/>
      <c r="E7" s="19"/>
      <c r="F7" s="19"/>
      <c r="G7" s="19"/>
      <c r="H7" s="19"/>
      <c r="K7" s="21" t="s">
        <v>128</v>
      </c>
    </row>
    <row r="8" customFormat="false" ht="12.75" hidden="false" customHeight="false" outlineLevel="0" collapsed="false">
      <c r="B8" s="7"/>
      <c r="C8" s="7"/>
      <c r="D8" s="7"/>
      <c r="E8" s="19"/>
      <c r="F8" s="19"/>
      <c r="G8" s="19"/>
      <c r="H8" s="19"/>
      <c r="K8" s="9" t="s">
        <v>129</v>
      </c>
    </row>
    <row r="9" customFormat="false" ht="12.75" hidden="false" customHeight="false" outlineLevel="0" collapsed="false">
      <c r="B9" s="7"/>
      <c r="C9" s="7"/>
      <c r="D9" s="7"/>
      <c r="E9" s="19"/>
      <c r="F9" s="19"/>
      <c r="G9" s="19"/>
      <c r="H9" s="19"/>
      <c r="K9" s="9" t="s">
        <v>130</v>
      </c>
    </row>
    <row r="10" customFormat="false" ht="12.75" hidden="false" customHeight="false" outlineLevel="0" collapsed="false">
      <c r="B10" s="7"/>
      <c r="C10" s="7"/>
      <c r="D10" s="7"/>
      <c r="E10" s="19"/>
      <c r="F10" s="19"/>
      <c r="G10" s="19"/>
      <c r="H10" s="19"/>
      <c r="K10" s="9" t="s">
        <v>131</v>
      </c>
      <c r="L10" s="0" t="s">
        <v>132</v>
      </c>
    </row>
    <row r="11" customFormat="false" ht="12.75" hidden="false" customHeight="false" outlineLevel="0" collapsed="false">
      <c r="B11" s="7"/>
      <c r="C11" s="7"/>
      <c r="D11" s="7"/>
      <c r="E11" s="19"/>
      <c r="F11" s="19"/>
      <c r="G11" s="19"/>
      <c r="H11" s="19"/>
      <c r="K11" s="9" t="s">
        <v>133</v>
      </c>
    </row>
    <row r="12" customFormat="false" ht="12.75" hidden="false" customHeight="false" outlineLevel="0" collapsed="false">
      <c r="B12" s="7"/>
      <c r="C12" s="7"/>
      <c r="D12" s="7"/>
      <c r="E12" s="19"/>
      <c r="F12" s="19"/>
      <c r="G12" s="19"/>
      <c r="H12" s="19"/>
      <c r="K12" s="41" t="s">
        <v>134</v>
      </c>
    </row>
    <row r="13" customFormat="false" ht="13.8" hidden="false" customHeight="false" outlineLevel="0" collapsed="false">
      <c r="A13" s="0" t="s">
        <v>135</v>
      </c>
      <c r="B13" s="4" t="s">
        <v>136</v>
      </c>
      <c r="C13" s="4" t="s">
        <v>58</v>
      </c>
      <c r="D13" s="40" t="s">
        <v>120</v>
      </c>
      <c r="E13" s="4" t="s">
        <v>121</v>
      </c>
      <c r="F13" s="4" t="s">
        <v>122</v>
      </c>
      <c r="G13" s="4" t="s">
        <v>123</v>
      </c>
      <c r="H13" s="5" t="s">
        <v>62</v>
      </c>
      <c r="I13" s="18" t="s">
        <v>63</v>
      </c>
      <c r="K13" s="25"/>
    </row>
    <row r="14" customFormat="false" ht="12.75" hidden="false" customHeight="false" outlineLevel="0" collapsed="false">
      <c r="B14" s="7" t="n">
        <v>-1</v>
      </c>
      <c r="C14" s="7" t="n">
        <f aca="false">(B14-2)*COS(B14)-1</f>
        <v>-2.62090691760442</v>
      </c>
      <c r="D14" s="7" t="n">
        <f aca="false">COS(B14)-(B14-2)*SIN(B14)</f>
        <v>-1.98411064855555</v>
      </c>
      <c r="E14" s="19" t="n">
        <f aca="false">B14-C14/D14</f>
        <v>-2.32094796200628</v>
      </c>
      <c r="F14" s="19" t="n">
        <f aca="false">ABS((E14-2)*COS(E14)-1)</f>
        <v>1.94580498538041</v>
      </c>
      <c r="G14" s="19" t="n">
        <f aca="false">ABS(E14-B14)</f>
        <v>1.32094796200628</v>
      </c>
      <c r="H14" s="19" t="str">
        <f aca="false">IF(OR(F14&lt;=$I$4,G14&lt;=$I$4),"корень","")</f>
        <v/>
      </c>
      <c r="I14" s="5" t="n">
        <v>1E-006</v>
      </c>
      <c r="K14" s="42"/>
    </row>
    <row r="15" customFormat="false" ht="12.75" hidden="false" customHeight="false" outlineLevel="0" collapsed="false">
      <c r="B15" s="7" t="n">
        <f aca="false">E14</f>
        <v>-2.32094796200628</v>
      </c>
      <c r="C15" s="7" t="n">
        <f aca="false">(B15-2)*COS(B15)-1</f>
        <v>1.94580498538041</v>
      </c>
      <c r="D15" s="7" t="n">
        <f aca="false">COS(B15)-(B15-2)*SIN(B15)</f>
        <v>-3.84289257734819</v>
      </c>
      <c r="E15" s="19" t="n">
        <f aca="false">B15-C15/D15</f>
        <v>-1.81460932614384</v>
      </c>
      <c r="F15" s="19" t="n">
        <f aca="false">ABS((E15-2)*COS(E15)-1)</f>
        <v>0.0791357593859056</v>
      </c>
      <c r="G15" s="19" t="n">
        <f aca="false">ABS(E15-B15)</f>
        <v>0.506338635862447</v>
      </c>
      <c r="H15" s="19" t="str">
        <f aca="false">IF(OR(F15&lt;=$I$4,G15&lt;=$I$4),"корень","")</f>
        <v/>
      </c>
      <c r="K15" s="42"/>
    </row>
    <row r="16" customFormat="false" ht="12.75" hidden="false" customHeight="false" outlineLevel="0" collapsed="false">
      <c r="B16" s="7" t="n">
        <f aca="false">E15</f>
        <v>-1.81460932614384</v>
      </c>
      <c r="C16" s="7" t="n">
        <f aca="false">(B16-2)*COS(B16)-1</f>
        <v>-0.0791357593859056</v>
      </c>
      <c r="D16" s="7" t="n">
        <f aca="false">COS(B16)-(B16-2)*SIN(B16)</f>
        <v>-3.94319516207923</v>
      </c>
      <c r="E16" s="19" t="n">
        <f aca="false">B16-C16/D16</f>
        <v>-1.83467826925549</v>
      </c>
      <c r="F16" s="19" t="n">
        <f aca="false">ABS((E16-2)*COS(E16)-1)</f>
        <v>0.000199423359826367</v>
      </c>
      <c r="G16" s="19" t="n">
        <f aca="false">ABS(E16-B16)</f>
        <v>0.020068943111651</v>
      </c>
      <c r="H16" s="19" t="str">
        <f aca="false">IF(OR(F16&lt;=$I$4,G16&lt;=$I$4),"корень","")</f>
        <v/>
      </c>
      <c r="K16" s="25"/>
    </row>
    <row r="17" customFormat="false" ht="12.75" hidden="false" customHeight="false" outlineLevel="0" collapsed="false">
      <c r="B17" s="7" t="n">
        <f aca="false">E16</f>
        <v>-1.83467826925549</v>
      </c>
      <c r="C17" s="7" t="n">
        <f aca="false">(B17-2)*COS(B17)-1</f>
        <v>0.000199423359826367</v>
      </c>
      <c r="D17" s="7" t="n">
        <f aca="false">COS(B17)-(B17-2)*SIN(B17)</f>
        <v>-3.96276991076124</v>
      </c>
      <c r="E17" s="19" t="n">
        <f aca="false">B17-C17/D17</f>
        <v>-1.8346279450216</v>
      </c>
      <c r="F17" s="19" t="n">
        <f aca="false">ABS((E17-2)*COS(E17)-1)</f>
        <v>1.17844267677469E-009</v>
      </c>
      <c r="G17" s="19" t="n">
        <f aca="false">ABS(E17-B17)</f>
        <v>5.03242338862897E-005</v>
      </c>
      <c r="H17" s="19" t="str">
        <f aca="false">IF(OR(F17&lt;=$I$4,G17&lt;=$I$4),"корень","")</f>
        <v>корень</v>
      </c>
      <c r="K17" s="25"/>
    </row>
    <row r="18" customFormat="false" ht="12.75" hidden="false" customHeight="false" outlineLevel="0" collapsed="false">
      <c r="B18" s="7"/>
      <c r="C18" s="7"/>
      <c r="D18" s="7"/>
      <c r="E18" s="19"/>
      <c r="F18" s="19"/>
      <c r="G18" s="19"/>
      <c r="H18" s="19"/>
      <c r="K18" s="42"/>
    </row>
    <row r="19" customFormat="false" ht="12.75" hidden="false" customHeight="false" outlineLevel="0" collapsed="false">
      <c r="B19" s="7"/>
      <c r="C19" s="7"/>
      <c r="D19" s="7"/>
      <c r="E19" s="19"/>
      <c r="F19" s="19"/>
      <c r="G19" s="19"/>
      <c r="H19" s="19"/>
      <c r="K19" s="42"/>
    </row>
    <row r="20" customFormat="false" ht="12.75" hidden="false" customHeight="false" outlineLevel="0" collapsed="false">
      <c r="B20" s="7"/>
      <c r="C20" s="7"/>
      <c r="D20" s="7"/>
      <c r="E20" s="19"/>
      <c r="F20" s="19"/>
      <c r="G20" s="19"/>
      <c r="H20" s="19"/>
      <c r="K20" s="42"/>
    </row>
    <row r="21" customFormat="false" ht="12.75" hidden="false" customHeight="false" outlineLevel="0" collapsed="false">
      <c r="B21" s="7"/>
      <c r="C21" s="7"/>
      <c r="D21" s="7"/>
      <c r="E21" s="19"/>
      <c r="F21" s="19"/>
      <c r="G21" s="19"/>
      <c r="H21" s="19"/>
      <c r="K21" s="42"/>
    </row>
    <row r="22" customFormat="false" ht="12.75" hidden="false" customHeight="false" outlineLevel="0" collapsed="false">
      <c r="B22" s="7"/>
      <c r="C22" s="7"/>
      <c r="D22" s="7"/>
      <c r="E22" s="19"/>
      <c r="F22" s="19"/>
      <c r="G22" s="19"/>
      <c r="H22" s="19"/>
      <c r="K22" s="42"/>
    </row>
    <row r="23" customFormat="false" ht="12.75" hidden="false" customHeight="false" outlineLevel="0" collapsed="false">
      <c r="B23" s="7"/>
      <c r="C23" s="7"/>
      <c r="D23" s="7"/>
      <c r="E23" s="19"/>
      <c r="F23" s="19"/>
      <c r="G23" s="19"/>
      <c r="H23" s="19"/>
      <c r="K23" s="42"/>
    </row>
    <row r="24" customFormat="false" ht="12.75" hidden="false" customHeight="false" outlineLevel="0" collapsed="false">
      <c r="B24" s="7"/>
      <c r="C24" s="7"/>
      <c r="D24" s="7"/>
      <c r="E24" s="19"/>
      <c r="F24" s="19"/>
      <c r="G24" s="19"/>
      <c r="H24" s="19"/>
      <c r="K24" s="42"/>
    </row>
    <row r="25" customFormat="false" ht="15.75" hidden="false" customHeight="false" outlineLevel="0" collapsed="false">
      <c r="K25" s="43"/>
    </row>
    <row r="26" customFormat="false" ht="12.75" hidden="false" customHeight="false" outlineLevel="0" collapsed="false">
      <c r="K26" s="25"/>
    </row>
    <row r="27" customFormat="false" ht="12.75" hidden="false" customHeight="false" outlineLevel="0" collapsed="false">
      <c r="K27" s="25"/>
    </row>
    <row r="28" customFormat="false" ht="12.75" hidden="false" customHeight="false" outlineLevel="0" collapsed="false">
      <c r="K28" s="25"/>
    </row>
    <row r="29" customFormat="false" ht="12.75" hidden="false" customHeight="false" outlineLevel="0" collapsed="false">
      <c r="K29" s="7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26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20" activeCellId="0" sqref="J20"/>
    </sheetView>
  </sheetViews>
  <sheetFormatPr defaultColWidth="8.58984375" defaultRowHeight="12.75" zeroHeight="false" outlineLevelRow="0" outlineLevelCol="0"/>
  <cols>
    <col collapsed="false" customWidth="true" hidden="false" outlineLevel="0" max="5" min="1" style="0" width="9.13"/>
    <col collapsed="false" customWidth="true" hidden="false" outlineLevel="0" max="6" min="6" style="0" width="18.2"/>
    <col collapsed="false" customWidth="true" hidden="false" outlineLevel="0" max="9" min="7" style="0" width="9.13"/>
    <col collapsed="false" customWidth="true" hidden="false" outlineLevel="0" max="10" min="10" style="0" width="50.14"/>
    <col collapsed="false" customWidth="true" hidden="false" outlineLevel="0" max="11" min="11" style="0" width="50"/>
    <col collapsed="false" customWidth="true" hidden="false" outlineLevel="0" max="266" min="266" style="0" width="50.14"/>
    <col collapsed="false" customWidth="true" hidden="false" outlineLevel="0" max="267" min="267" style="0" width="50"/>
    <col collapsed="false" customWidth="true" hidden="false" outlineLevel="0" max="522" min="522" style="0" width="50.14"/>
    <col collapsed="false" customWidth="true" hidden="false" outlineLevel="0" max="523" min="523" style="0" width="50"/>
    <col collapsed="false" customWidth="true" hidden="false" outlineLevel="0" max="778" min="778" style="0" width="50.14"/>
    <col collapsed="false" customWidth="true" hidden="false" outlineLevel="0" max="779" min="779" style="0" width="50"/>
  </cols>
  <sheetData>
    <row r="1" customFormat="false" ht="15" hidden="false" customHeight="false" outlineLevel="0" collapsed="false">
      <c r="B1" s="1" t="s">
        <v>137</v>
      </c>
      <c r="C1" s="1"/>
      <c r="D1" s="1"/>
      <c r="E1" s="1"/>
      <c r="F1" s="39"/>
      <c r="G1" s="17"/>
      <c r="J1" s="6" t="s">
        <v>8</v>
      </c>
    </row>
    <row r="2" customFormat="false" ht="12.75" hidden="false" customHeight="false" outlineLevel="0" collapsed="false">
      <c r="J2" s="21" t="s">
        <v>138</v>
      </c>
      <c r="K2" s="0" t="s">
        <v>139</v>
      </c>
    </row>
    <row r="3" customFormat="false" ht="12.75" hidden="false" customHeight="false" outlineLevel="0" collapsed="false">
      <c r="B3" s="4" t="s">
        <v>140</v>
      </c>
      <c r="C3" s="4" t="s">
        <v>141</v>
      </c>
      <c r="D3" s="44" t="s">
        <v>142</v>
      </c>
      <c r="E3" s="45" t="s">
        <v>143</v>
      </c>
      <c r="F3" s="46" t="s">
        <v>144</v>
      </c>
      <c r="J3" s="9" t="s">
        <v>145</v>
      </c>
      <c r="K3" s="0" t="s">
        <v>146</v>
      </c>
    </row>
    <row r="4" customFormat="false" ht="12.75" hidden="false" customHeight="false" outlineLevel="0" collapsed="false">
      <c r="B4" s="47" t="n">
        <v>-4.6</v>
      </c>
      <c r="C4" s="7" t="n">
        <f aca="false">COS(B4)-(B4-2)*SIN(B4)</f>
        <v>6.44620809704581</v>
      </c>
      <c r="D4" s="7" t="n">
        <f aca="false">ABS(C4)</f>
        <v>6.44620809704581</v>
      </c>
      <c r="E4" s="48" t="n">
        <f aca="false">1/MAX($D$4:$D$14)</f>
        <v>0.155129959341257</v>
      </c>
      <c r="F4" s="49" t="n">
        <f aca="false">1-E4*D4</f>
        <v>0</v>
      </c>
      <c r="J4" s="21" t="s">
        <v>147</v>
      </c>
    </row>
    <row r="5" customFormat="false" ht="12.75" hidden="false" customHeight="false" outlineLevel="0" collapsed="false">
      <c r="B5" s="47" t="n">
        <v>-4.59</v>
      </c>
      <c r="C5" s="7" t="n">
        <f aca="false">COS(B5)-(B5-2)*SIN(B5)</f>
        <v>6.41862190336512</v>
      </c>
      <c r="D5" s="7" t="n">
        <f aca="false">ABS(C5)</f>
        <v>6.41862190336512</v>
      </c>
      <c r="E5" s="48" t="n">
        <f aca="false">1/MAX($D$4:$D$14)</f>
        <v>0.155129959341257</v>
      </c>
      <c r="F5" s="49" t="n">
        <f aca="false">1-E5*D5</f>
        <v>0.00427944510406497</v>
      </c>
      <c r="J5" s="9" t="s">
        <v>148</v>
      </c>
    </row>
    <row r="6" customFormat="false" ht="12.75" hidden="false" customHeight="false" outlineLevel="0" collapsed="false">
      <c r="B6" s="47" t="n">
        <v>-4.58</v>
      </c>
      <c r="C6" s="7" t="n">
        <f aca="false">COS(B6)-(B6-2)*SIN(B6)</f>
        <v>6.39041826916875</v>
      </c>
      <c r="D6" s="7" t="n">
        <f aca="false">ABS(C6)</f>
        <v>6.39041826916875</v>
      </c>
      <c r="E6" s="48" t="n">
        <f aca="false">1/MAX($D$4:$D$14)</f>
        <v>0.155129959341257</v>
      </c>
      <c r="F6" s="49" t="n">
        <f aca="false">1-E6*D6</f>
        <v>0.00865467373022466</v>
      </c>
      <c r="H6" s="7"/>
      <c r="J6" s="21" t="s">
        <v>149</v>
      </c>
    </row>
    <row r="7" customFormat="false" ht="12.75" hidden="false" customHeight="false" outlineLevel="0" collapsed="false">
      <c r="B7" s="47" t="n">
        <v>-4.57</v>
      </c>
      <c r="C7" s="7" t="n">
        <f aca="false">COS(B7)-(B7-2)*SIN(B7)</f>
        <v>6.36160199854924</v>
      </c>
      <c r="D7" s="7" t="n">
        <f aca="false">ABS(C7)</f>
        <v>6.36160199854924</v>
      </c>
      <c r="E7" s="48" t="n">
        <f aca="false">1/MAX($D$4:$D$14)</f>
        <v>0.155129959341257</v>
      </c>
      <c r="F7" s="49" t="n">
        <f aca="false">1-E7*D7</f>
        <v>0.0131249406197946</v>
      </c>
      <c r="H7" s="7"/>
      <c r="J7" s="9" t="s">
        <v>150</v>
      </c>
      <c r="K7" s="0" t="s">
        <v>151</v>
      </c>
    </row>
    <row r="8" customFormat="false" ht="12.75" hidden="false" customHeight="false" outlineLevel="0" collapsed="false">
      <c r="B8" s="47" t="n">
        <v>-4.56</v>
      </c>
      <c r="C8" s="7" t="n">
        <f aca="false">COS(B8)-(B8-2)*SIN(B8)</f>
        <v>6.33217795422234</v>
      </c>
      <c r="D8" s="7" t="n">
        <f aca="false">ABS(C8)</f>
        <v>6.33217795422234</v>
      </c>
      <c r="E8" s="48" t="n">
        <f aca="false">1/MAX($D$4:$D$14)</f>
        <v>0.155129959341257</v>
      </c>
      <c r="F8" s="49" t="n">
        <f aca="false">1-E8*D8</f>
        <v>0.0176894914198826</v>
      </c>
      <c r="H8" s="7"/>
      <c r="J8" s="21" t="s">
        <v>152</v>
      </c>
      <c r="K8" s="50" t="s">
        <v>153</v>
      </c>
    </row>
    <row r="9" customFormat="false" ht="12.75" hidden="false" customHeight="false" outlineLevel="0" collapsed="false">
      <c r="B9" s="47" t="n">
        <v>-4.55</v>
      </c>
      <c r="C9" s="7" t="n">
        <f aca="false">COS(B9)-(B9-2)*SIN(B9)</f>
        <v>6.30215105684251</v>
      </c>
      <c r="D9" s="7" t="n">
        <f aca="false">ABS(C9)</f>
        <v>6.30215105684251</v>
      </c>
      <c r="E9" s="48" t="n">
        <f aca="false">1/MAX($D$4:$D$14)</f>
        <v>0.155129959341257</v>
      </c>
      <c r="F9" s="49" t="n">
        <f aca="false">1-E9*D9</f>
        <v>0.0223475627895594</v>
      </c>
      <c r="H9" s="7"/>
      <c r="J9" s="51" t="s">
        <v>154</v>
      </c>
      <c r="K9" s="52" t="s">
        <v>155</v>
      </c>
    </row>
    <row r="10" customFormat="false" ht="12.75" hidden="false" customHeight="false" outlineLevel="0" collapsed="false">
      <c r="B10" s="47" t="n">
        <v>-4.54</v>
      </c>
      <c r="C10" s="7" t="n">
        <f aca="false">COS(B10)-(B10-2)*SIN(B10)</f>
        <v>6.27152628431313</v>
      </c>
      <c r="D10" s="7" t="n">
        <f aca="false">ABS(C10)</f>
        <v>6.27152628431313</v>
      </c>
      <c r="E10" s="48" t="n">
        <f aca="false">1/MAX($D$4:$D$14)</f>
        <v>0.155129959341257</v>
      </c>
      <c r="F10" s="49" t="n">
        <f aca="false">1-E10*D10</f>
        <v>0.0270983825068779</v>
      </c>
      <c r="H10" s="7"/>
      <c r="J10" s="51" t="s">
        <v>156</v>
      </c>
      <c r="K10" s="52" t="s">
        <v>157</v>
      </c>
    </row>
    <row r="11" customFormat="false" ht="12.75" hidden="false" customHeight="false" outlineLevel="0" collapsed="false">
      <c r="B11" s="47" t="n">
        <v>-4.53</v>
      </c>
      <c r="C11" s="7" t="n">
        <f aca="false">COS(B11)-(B11-2)*SIN(B11)</f>
        <v>6.24030867109113</v>
      </c>
      <c r="D11" s="7" t="n">
        <f aca="false">ABS(C11)</f>
        <v>6.24030867109113</v>
      </c>
      <c r="E11" s="48" t="n">
        <f aca="false">1/MAX($D$4:$D$14)</f>
        <v>0.155129959341257</v>
      </c>
      <c r="F11" s="49" t="n">
        <f aca="false">1-E11*D11</f>
        <v>0.0319411695767384</v>
      </c>
      <c r="H11" s="7"/>
      <c r="J11" s="9" t="s">
        <v>158</v>
      </c>
      <c r="K11" s="0" t="s">
        <v>125</v>
      </c>
    </row>
    <row r="12" customFormat="false" ht="12.75" hidden="false" customHeight="false" outlineLevel="0" collapsed="false">
      <c r="B12" s="47" t="n">
        <v>-4.52</v>
      </c>
      <c r="C12" s="7" t="n">
        <f aca="false">COS(B12)-(B12-2)*SIN(B12)</f>
        <v>6.20850330748638</v>
      </c>
      <c r="D12" s="7" t="n">
        <f aca="false">ABS(C12)</f>
        <v>6.20850330748638</v>
      </c>
      <c r="E12" s="48" t="n">
        <f aca="false">1/MAX($D$4:$D$14)</f>
        <v>0.155129959341257</v>
      </c>
      <c r="F12" s="49" t="n">
        <f aca="false">1-E12*D12</f>
        <v>0.0368751343395768</v>
      </c>
      <c r="H12" s="7"/>
      <c r="J12" s="9" t="s">
        <v>159</v>
      </c>
      <c r="K12" s="0" t="s">
        <v>160</v>
      </c>
    </row>
    <row r="13" customFormat="false" ht="12.75" hidden="false" customHeight="false" outlineLevel="0" collapsed="false">
      <c r="B13" s="47" t="n">
        <v>-4.51</v>
      </c>
      <c r="C13" s="7" t="n">
        <f aca="false">COS(B13)-(B13-2)*SIN(B13)</f>
        <v>6.17611533895581</v>
      </c>
      <c r="D13" s="7" t="n">
        <f aca="false">ABS(C13)</f>
        <v>6.17611533895581</v>
      </c>
      <c r="E13" s="48" t="n">
        <f aca="false">1/MAX($D$4:$D$14)</f>
        <v>0.155129959341257</v>
      </c>
      <c r="F13" s="49" t="n">
        <f aca="false">1-E13*D13</f>
        <v>0.0418994785808701</v>
      </c>
      <c r="H13" s="7"/>
      <c r="J13" s="21" t="s">
        <v>161</v>
      </c>
      <c r="K13" s="0" t="s">
        <v>162</v>
      </c>
    </row>
    <row r="14" customFormat="false" ht="12.75" hidden="false" customHeight="false" outlineLevel="0" collapsed="false">
      <c r="B14" s="47" t="n">
        <v>-4.5</v>
      </c>
      <c r="C14" s="7" t="n">
        <f aca="false">COS(B14)-(B14-2)*SIN(B14)</f>
        <v>6.14314996539235</v>
      </c>
      <c r="D14" s="7" t="n">
        <f aca="false">ABS(C14)</f>
        <v>6.14314996539235</v>
      </c>
      <c r="E14" s="48" t="n">
        <f aca="false">1/MAX($D$4:$D$14)</f>
        <v>0.155129959341257</v>
      </c>
      <c r="F14" s="49" t="n">
        <f aca="false">1-E14*D14</f>
        <v>0.0470133956414385</v>
      </c>
      <c r="H14" s="7"/>
      <c r="J14" s="21" t="s">
        <v>163</v>
      </c>
      <c r="K14" s="0" t="s">
        <v>164</v>
      </c>
    </row>
    <row r="15" customFormat="false" ht="12.75" hidden="false" customHeight="false" outlineLevel="0" collapsed="false">
      <c r="B15" s="53"/>
      <c r="C15" s="53"/>
      <c r="D15" s="53"/>
      <c r="E15" s="54"/>
      <c r="F15" s="54"/>
      <c r="G15" s="54"/>
      <c r="H15" s="7"/>
      <c r="J15" s="9" t="s">
        <v>165</v>
      </c>
      <c r="K15" s="0" t="s">
        <v>166</v>
      </c>
    </row>
    <row r="16" customFormat="false" ht="12.75" hidden="false" customHeight="false" outlineLevel="0" collapsed="false">
      <c r="B16" s="55"/>
      <c r="C16" s="55"/>
      <c r="D16" s="55"/>
      <c r="E16" s="55"/>
      <c r="F16" s="55"/>
      <c r="G16" s="55"/>
      <c r="H16" s="7"/>
      <c r="J16" s="9" t="s">
        <v>167</v>
      </c>
    </row>
    <row r="17" customFormat="false" ht="12.75" hidden="false" customHeight="false" outlineLevel="0" collapsed="false">
      <c r="B17" s="4" t="s">
        <v>55</v>
      </c>
      <c r="C17" s="4" t="s">
        <v>56</v>
      </c>
      <c r="D17" s="4" t="s">
        <v>58</v>
      </c>
      <c r="E17" s="4" t="s">
        <v>168</v>
      </c>
      <c r="F17" s="4" t="s">
        <v>107</v>
      </c>
      <c r="G17" s="5" t="s">
        <v>62</v>
      </c>
      <c r="H17" s="18" t="s">
        <v>63</v>
      </c>
      <c r="J17" s="9" t="s">
        <v>169</v>
      </c>
    </row>
    <row r="18" customFormat="false" ht="12.75" hidden="false" customHeight="false" outlineLevel="0" collapsed="false">
      <c r="B18" s="7" t="n">
        <v>-4.6</v>
      </c>
      <c r="C18" s="7" t="n">
        <f aca="false">E18</f>
        <v>-4.55969827248554</v>
      </c>
      <c r="D18" s="7" t="n">
        <f aca="false">(B18-2)*COS(B18)-1</f>
        <v>-0.259793322228638</v>
      </c>
      <c r="E18" s="7" t="n">
        <f aca="false">B18-$E$7*D18</f>
        <v>-4.55969827248554</v>
      </c>
      <c r="F18" s="0" t="n">
        <f aca="false">ABS(B18-C18)</f>
        <v>0.0403017275144588</v>
      </c>
      <c r="G18" s="19" t="str">
        <f aca="false">IF(F18&lt;=$H$18*(1-$H$21)/$H$21,"корень","")</f>
        <v/>
      </c>
      <c r="H18" s="5" t="n">
        <v>1E-006</v>
      </c>
      <c r="J18" s="21" t="s">
        <v>170</v>
      </c>
      <c r="K18" s="0" t="s">
        <v>171</v>
      </c>
    </row>
    <row r="19" customFormat="false" ht="12.75" hidden="false" customHeight="false" outlineLevel="0" collapsed="false">
      <c r="B19" s="7" t="n">
        <f aca="false">C18</f>
        <v>-4.55969827248554</v>
      </c>
      <c r="C19" s="7" t="n">
        <f aca="false">E19</f>
        <v>-4.55934419280922</v>
      </c>
      <c r="D19" s="7" t="n">
        <f aca="false">(B19-2)*COS(B19)-1</f>
        <v>-0.00228247127649228</v>
      </c>
      <c r="E19" s="7" t="n">
        <f aca="false">B19-$E$7*D19</f>
        <v>-4.55934419280922</v>
      </c>
      <c r="F19" s="0" t="n">
        <f aca="false">ABS(B19-C19)</f>
        <v>0.000354079676319508</v>
      </c>
      <c r="G19" s="19" t="str">
        <f aca="false">IF(F19&lt;=$H$18*(1-$H$21)/$H$21,"корень","")</f>
        <v/>
      </c>
      <c r="H19" s="7"/>
      <c r="J19" s="21" t="s">
        <v>172</v>
      </c>
      <c r="K19" s="0" t="s">
        <v>173</v>
      </c>
    </row>
    <row r="20" customFormat="false" ht="12.75" hidden="false" customHeight="false" outlineLevel="0" collapsed="false">
      <c r="B20" s="7" t="n">
        <f aca="false">C19</f>
        <v>-4.55934419280922</v>
      </c>
      <c r="C20" s="7" t="n">
        <f aca="false">E20</f>
        <v>-4.55933785110621</v>
      </c>
      <c r="D20" s="7" t="n">
        <f aca="false">(B20-2)*COS(B20)-1</f>
        <v>-4.08799373066149E-005</v>
      </c>
      <c r="E20" s="7" t="n">
        <f aca="false">B20-$E$7*D20</f>
        <v>-4.55933785110621</v>
      </c>
      <c r="F20" s="0" t="n">
        <f aca="false">ABS(B20-C20)</f>
        <v>6.34170301250236E-006</v>
      </c>
      <c r="G20" s="19" t="str">
        <f aca="false">IF(F20&lt;=$H$18*(1-$H$21)/$H$21,"корень","")</f>
        <v>корень</v>
      </c>
      <c r="H20" s="4" t="s">
        <v>174</v>
      </c>
      <c r="J20" s="21" t="s">
        <v>175</v>
      </c>
      <c r="K20" s="0" t="s">
        <v>176</v>
      </c>
    </row>
    <row r="21" customFormat="false" ht="12.75" hidden="false" customHeight="false" outlineLevel="0" collapsed="false">
      <c r="B21" s="7"/>
      <c r="C21" s="7"/>
      <c r="D21" s="7"/>
      <c r="E21" s="7"/>
      <c r="G21" s="19"/>
      <c r="H21" s="5" t="n">
        <f aca="false">MAX(F4:F14)</f>
        <v>0.0470133956414385</v>
      </c>
      <c r="J21" s="9" t="s">
        <v>177</v>
      </c>
    </row>
    <row r="22" customFormat="false" ht="12.75" hidden="false" customHeight="false" outlineLevel="0" collapsed="false">
      <c r="B22" s="7"/>
      <c r="C22" s="7"/>
      <c r="D22" s="7"/>
      <c r="E22" s="7"/>
      <c r="G22" s="19"/>
      <c r="J22" s="9" t="s">
        <v>178</v>
      </c>
      <c r="K22" s="0" t="s">
        <v>179</v>
      </c>
    </row>
    <row r="23" customFormat="false" ht="12.75" hidden="false" customHeight="false" outlineLevel="0" collapsed="false">
      <c r="B23" s="7"/>
      <c r="C23" s="7"/>
      <c r="D23" s="7"/>
      <c r="E23" s="7"/>
      <c r="G23" s="19"/>
      <c r="H23" s="7"/>
      <c r="J23" s="13" t="s">
        <v>180</v>
      </c>
      <c r="K23" s="0" t="s">
        <v>181</v>
      </c>
    </row>
    <row r="24" customFormat="false" ht="12.75" hidden="false" customHeight="false" outlineLevel="0" collapsed="false">
      <c r="B24" s="7"/>
      <c r="C24" s="7"/>
      <c r="D24" s="7"/>
      <c r="E24" s="7"/>
      <c r="G24" s="19"/>
      <c r="H24" s="7"/>
      <c r="K24" s="0" t="s">
        <v>182</v>
      </c>
    </row>
    <row r="25" customFormat="false" ht="12.75" hidden="false" customHeight="false" outlineLevel="0" collapsed="false">
      <c r="B25" s="7"/>
      <c r="C25" s="7"/>
      <c r="D25" s="7"/>
      <c r="E25" s="7"/>
      <c r="G25" s="19"/>
    </row>
    <row r="26" customFormat="false" ht="12.75" hidden="false" customHeight="false" outlineLevel="0" collapsed="false">
      <c r="B26" s="7"/>
      <c r="C26" s="7"/>
      <c r="D26" s="7"/>
      <c r="E26" s="7"/>
      <c r="G26" s="19"/>
    </row>
    <row r="28" customFormat="false" ht="12.75" hidden="false" customHeight="false" outlineLevel="0" collapsed="false">
      <c r="B28" s="4" t="s">
        <v>4</v>
      </c>
      <c r="C28" s="4" t="s">
        <v>5</v>
      </c>
      <c r="D28" s="4" t="s">
        <v>183</v>
      </c>
      <c r="H28" s="7"/>
    </row>
    <row r="29" customFormat="false" ht="12.75" hidden="false" customHeight="false" outlineLevel="0" collapsed="false">
      <c r="B29" s="47" t="n">
        <v>-4.6</v>
      </c>
      <c r="C29" s="7" t="n">
        <f aca="false">(B29-2)*COS(B29)-1</f>
        <v>-0.259793322228638</v>
      </c>
      <c r="D29" s="49" t="n">
        <f aca="false">B29-$E$7*C29</f>
        <v>-4.55969827248554</v>
      </c>
      <c r="E29" s="19"/>
      <c r="F29" s="19"/>
      <c r="G29" s="19"/>
      <c r="J29" s="25"/>
    </row>
    <row r="30" customFormat="false" ht="12.75" hidden="false" customHeight="false" outlineLevel="0" collapsed="false">
      <c r="B30" s="47" t="n">
        <v>-4.59</v>
      </c>
      <c r="C30" s="7" t="n">
        <f aca="false">(B30-2)*COS(B30)-1</f>
        <v>-0.195468655706714</v>
      </c>
      <c r="D30" s="49" t="n">
        <f aca="false">B30-$E$7*C30</f>
        <v>-4.55967695538773</v>
      </c>
      <c r="J30" s="25"/>
    </row>
    <row r="31" customFormat="false" ht="12.75" hidden="false" customHeight="false" outlineLevel="0" collapsed="false">
      <c r="B31" s="47" t="n">
        <v>-4.58</v>
      </c>
      <c r="C31" s="7" t="n">
        <f aca="false">(B31-2)*COS(B31)-1</f>
        <v>-0.13142294230298</v>
      </c>
      <c r="D31" s="49" t="n">
        <f aca="false">B31-$E$7*C31</f>
        <v>-4.55961236430403</v>
      </c>
      <c r="J31" s="25"/>
    </row>
    <row r="32" customFormat="false" ht="12.75" hidden="false" customHeight="false" outlineLevel="0" collapsed="false">
      <c r="B32" s="47" t="n">
        <v>-4.57</v>
      </c>
      <c r="C32" s="7" t="n">
        <f aca="false">(B32-2)*COS(B32)-1</f>
        <v>-0.0676623324512602</v>
      </c>
      <c r="D32" s="49" t="n">
        <f aca="false">B32-$E$7*C32</f>
        <v>-4.5595035451179</v>
      </c>
    </row>
    <row r="33" customFormat="false" ht="12.75" hidden="false" customHeight="false" outlineLevel="0" collapsed="false">
      <c r="B33" s="47" t="n">
        <v>-4.56</v>
      </c>
      <c r="C33" s="7" t="n">
        <f aca="false">(B33-2)*COS(B33)-1</f>
        <v>-0.00419292825078754</v>
      </c>
      <c r="D33" s="49" t="n">
        <f aca="false">B33-$E$7*C33</f>
        <v>-4.55934955121093</v>
      </c>
      <c r="J33" s="56"/>
    </row>
    <row r="34" customFormat="false" ht="12.75" hidden="false" customHeight="false" outlineLevel="0" collapsed="false">
      <c r="B34" s="47" t="n">
        <v>-4.55</v>
      </c>
      <c r="C34" s="7" t="n">
        <f aca="false">(B34-2)*COS(B34)-1</f>
        <v>0.0589792171166466</v>
      </c>
      <c r="D34" s="49" t="n">
        <f aca="false">B34-$E$7*C34</f>
        <v>-4.55914944355328</v>
      </c>
    </row>
    <row r="35" customFormat="false" ht="12.75" hidden="false" customHeight="false" outlineLevel="0" collapsed="false">
      <c r="B35" s="47" t="n">
        <v>-4.54</v>
      </c>
      <c r="C35" s="7" t="n">
        <f aca="false">(B35-2)*COS(B35)-1</f>
        <v>0.121848099962611</v>
      </c>
      <c r="D35" s="49" t="n">
        <f aca="false">B35-$E$7*C35</f>
        <v>-4.55890229079301</v>
      </c>
      <c r="E35" s="19"/>
      <c r="F35" s="19"/>
      <c r="G35" s="19"/>
    </row>
    <row r="36" customFormat="false" ht="12.75" hidden="false" customHeight="false" outlineLevel="0" collapsed="false">
      <c r="B36" s="47" t="n">
        <v>-4.53</v>
      </c>
      <c r="C36" s="7" t="n">
        <f aca="false">(B36-2)*COS(B36)-1</f>
        <v>0.184407766661064</v>
      </c>
      <c r="D36" s="49" t="n">
        <f aca="false">B36-$E$7*C36</f>
        <v>-4.55860716934434</v>
      </c>
      <c r="E36" s="19"/>
      <c r="F36" s="19"/>
      <c r="G36" s="19"/>
      <c r="H36" s="7"/>
    </row>
    <row r="37" customFormat="false" ht="12.75" hidden="false" customHeight="false" outlineLevel="0" collapsed="false">
      <c r="B37" s="47" t="n">
        <v>-4.52</v>
      </c>
      <c r="C37" s="7" t="n">
        <f aca="false">(B37-2)*COS(B37)-1</f>
        <v>0.246652314210366</v>
      </c>
      <c r="D37" s="49" t="n">
        <f aca="false">B37-$E$7*C37</f>
        <v>-4.55826316347488</v>
      </c>
      <c r="E37" s="19"/>
      <c r="F37" s="19"/>
      <c r="G37" s="57"/>
      <c r="H37" s="7"/>
    </row>
    <row r="38" customFormat="false" ht="12.75" hidden="false" customHeight="false" outlineLevel="0" collapsed="false">
      <c r="B38" s="47" t="n">
        <v>-4.51</v>
      </c>
      <c r="C38" s="7" t="n">
        <f aca="false">(B38-2)*COS(B38)-1</f>
        <v>0.308575890788321</v>
      </c>
      <c r="D38" s="49" t="n">
        <f aca="false">B38-$E$7*C38</f>
        <v>-4.55786936539168</v>
      </c>
      <c r="E38" s="19"/>
      <c r="F38" s="19"/>
      <c r="G38" s="19"/>
    </row>
    <row r="39" customFormat="false" ht="12.75" hidden="false" customHeight="false" outlineLevel="0" collapsed="false">
      <c r="B39" s="47" t="n">
        <v>-4.5</v>
      </c>
      <c r="C39" s="7" t="n">
        <f aca="false">(B39-2)*COS(B39)-1</f>
        <v>0.370172696300068</v>
      </c>
      <c r="D39" s="49" t="n">
        <f aca="false">B39-$E$7*C39</f>
        <v>-4.55742487532627</v>
      </c>
    </row>
    <row r="40" customFormat="false" ht="12.75" hidden="false" customHeight="false" outlineLevel="0" collapsed="false">
      <c r="B40" s="7"/>
      <c r="C40" s="7"/>
      <c r="D40" s="7"/>
    </row>
    <row r="41" customFormat="false" ht="12.75" hidden="false" customHeight="false" outlineLevel="0" collapsed="false">
      <c r="B41" s="7"/>
      <c r="C41" s="7"/>
      <c r="D41" s="7"/>
    </row>
    <row r="42" customFormat="false" ht="12.75" hidden="false" customHeight="false" outlineLevel="0" collapsed="false">
      <c r="B42" s="7"/>
      <c r="C42" s="7"/>
      <c r="D42" s="7"/>
    </row>
    <row r="43" customFormat="false" ht="12.75" hidden="false" customHeight="false" outlineLevel="0" collapsed="false">
      <c r="B43" s="7"/>
      <c r="C43" s="7"/>
      <c r="D43" s="7"/>
    </row>
    <row r="44" customFormat="false" ht="12.75" hidden="false" customHeight="false" outlineLevel="0" collapsed="false">
      <c r="B44" s="7"/>
      <c r="C44" s="7"/>
      <c r="D44" s="7"/>
    </row>
    <row r="45" customFormat="false" ht="12.75" hidden="false" customHeight="false" outlineLevel="0" collapsed="false">
      <c r="B45" s="7"/>
      <c r="C45" s="7"/>
      <c r="D45" s="7"/>
    </row>
    <row r="46" customFormat="false" ht="12.75" hidden="false" customHeight="false" outlineLevel="0" collapsed="false">
      <c r="B46" s="7"/>
      <c r="C46" s="7"/>
      <c r="D46" s="7"/>
    </row>
    <row r="47" customFormat="false" ht="12.75" hidden="false" customHeight="false" outlineLevel="0" collapsed="false">
      <c r="B47" s="7"/>
      <c r="C47" s="7"/>
      <c r="D47" s="7"/>
    </row>
    <row r="48" customFormat="false" ht="12.75" hidden="false" customHeight="false" outlineLevel="0" collapsed="false">
      <c r="B48" s="7"/>
      <c r="C48" s="7"/>
      <c r="D48" s="7"/>
    </row>
    <row r="49" customFormat="false" ht="12.75" hidden="false" customHeight="false" outlineLevel="0" collapsed="false">
      <c r="B49" s="7"/>
      <c r="C49" s="7"/>
      <c r="D49" s="7"/>
    </row>
    <row r="50" customFormat="false" ht="12.75" hidden="false" customHeight="false" outlineLevel="0" collapsed="false">
      <c r="B50" s="7"/>
      <c r="C50" s="7"/>
      <c r="D50" s="7"/>
    </row>
    <row r="51" customFormat="false" ht="12.75" hidden="false" customHeight="false" outlineLevel="0" collapsed="false">
      <c r="B51" s="7"/>
      <c r="C51" s="7"/>
      <c r="D51" s="7"/>
    </row>
    <row r="52" customFormat="false" ht="12.75" hidden="false" customHeight="false" outlineLevel="0" collapsed="false">
      <c r="B52" s="7"/>
      <c r="C52" s="7"/>
      <c r="D52" s="7"/>
    </row>
    <row r="53" customFormat="false" ht="12.75" hidden="false" customHeight="false" outlineLevel="0" collapsed="false">
      <c r="B53" s="7"/>
      <c r="C53" s="7"/>
      <c r="D53" s="7"/>
    </row>
    <row r="54" customFormat="false" ht="12.75" hidden="false" customHeight="false" outlineLevel="0" collapsed="false">
      <c r="B54" s="7"/>
      <c r="C54" s="7"/>
      <c r="D54" s="7"/>
    </row>
    <row r="55" customFormat="false" ht="12.75" hidden="false" customHeight="false" outlineLevel="0" collapsed="false">
      <c r="B55" s="7"/>
      <c r="C55" s="7"/>
      <c r="D55" s="7"/>
    </row>
    <row r="56" customFormat="false" ht="12.75" hidden="false" customHeight="false" outlineLevel="0" collapsed="false">
      <c r="B56" s="7"/>
      <c r="C56" s="7"/>
      <c r="D56" s="7"/>
    </row>
    <row r="57" customFormat="false" ht="12.75" hidden="false" customHeight="false" outlineLevel="0" collapsed="false">
      <c r="B57" s="7"/>
      <c r="C57" s="7"/>
      <c r="D57" s="7"/>
    </row>
    <row r="58" customFormat="false" ht="12.75" hidden="false" customHeight="false" outlineLevel="0" collapsed="false">
      <c r="B58" s="7"/>
      <c r="C58" s="7"/>
      <c r="D58" s="7"/>
    </row>
    <row r="59" customFormat="false" ht="12.75" hidden="false" customHeight="false" outlineLevel="0" collapsed="false">
      <c r="B59" s="7"/>
      <c r="C59" s="7"/>
      <c r="D59" s="7"/>
    </row>
    <row r="60" customFormat="false" ht="12.75" hidden="false" customHeight="false" outlineLevel="0" collapsed="false">
      <c r="B60" s="7"/>
      <c r="C60" s="7"/>
      <c r="D60" s="7"/>
    </row>
    <row r="61" customFormat="false" ht="12.75" hidden="false" customHeight="false" outlineLevel="0" collapsed="false">
      <c r="B61" s="7"/>
      <c r="C61" s="7"/>
      <c r="D61" s="7"/>
    </row>
    <row r="62" customFormat="false" ht="12.75" hidden="false" customHeight="false" outlineLevel="0" collapsed="false">
      <c r="B62" s="7"/>
      <c r="C62" s="7"/>
      <c r="D62" s="7"/>
    </row>
    <row r="63" customFormat="false" ht="12.75" hidden="false" customHeight="false" outlineLevel="0" collapsed="false">
      <c r="B63" s="7"/>
      <c r="C63" s="7"/>
      <c r="D63" s="7"/>
    </row>
    <row r="64" customFormat="false" ht="12.75" hidden="false" customHeight="false" outlineLevel="0" collapsed="false">
      <c r="B64" s="7"/>
      <c r="C64" s="7"/>
      <c r="D64" s="7"/>
    </row>
    <row r="65" customFormat="false" ht="12.75" hidden="false" customHeight="false" outlineLevel="0" collapsed="false">
      <c r="B65" s="7"/>
      <c r="C65" s="7"/>
      <c r="D65" s="7"/>
    </row>
    <row r="66" customFormat="false" ht="12.75" hidden="false" customHeight="false" outlineLevel="0" collapsed="false">
      <c r="B66" s="7"/>
      <c r="C66" s="7"/>
      <c r="D66" s="7"/>
    </row>
    <row r="67" customFormat="false" ht="12.75" hidden="false" customHeight="false" outlineLevel="0" collapsed="false">
      <c r="B67" s="7"/>
      <c r="C67" s="7"/>
      <c r="D67" s="7"/>
    </row>
    <row r="68" customFormat="false" ht="12.75" hidden="false" customHeight="false" outlineLevel="0" collapsed="false">
      <c r="B68" s="7"/>
      <c r="C68" s="7"/>
      <c r="D68" s="7"/>
    </row>
    <row r="69" customFormat="false" ht="12.75" hidden="false" customHeight="false" outlineLevel="0" collapsed="false">
      <c r="B69" s="7"/>
      <c r="C69" s="7"/>
      <c r="D69" s="7"/>
    </row>
    <row r="70" customFormat="false" ht="12.75" hidden="false" customHeight="false" outlineLevel="0" collapsed="false">
      <c r="B70" s="7"/>
      <c r="C70" s="7"/>
      <c r="D70" s="7"/>
    </row>
    <row r="71" customFormat="false" ht="12.75" hidden="false" customHeight="false" outlineLevel="0" collapsed="false">
      <c r="B71" s="7"/>
      <c r="C71" s="7"/>
      <c r="D71" s="7"/>
    </row>
    <row r="72" customFormat="false" ht="12.75" hidden="false" customHeight="false" outlineLevel="0" collapsed="false">
      <c r="B72" s="7"/>
      <c r="C72" s="7"/>
      <c r="D72" s="7"/>
    </row>
    <row r="73" customFormat="false" ht="12.75" hidden="false" customHeight="false" outlineLevel="0" collapsed="false">
      <c r="B73" s="7"/>
      <c r="C73" s="7"/>
      <c r="D73" s="7"/>
    </row>
    <row r="74" customFormat="false" ht="12.75" hidden="false" customHeight="false" outlineLevel="0" collapsed="false">
      <c r="B74" s="7"/>
      <c r="C74" s="7"/>
      <c r="D74" s="7"/>
    </row>
    <row r="75" customFormat="false" ht="12.75" hidden="false" customHeight="false" outlineLevel="0" collapsed="false">
      <c r="B75" s="7"/>
      <c r="C75" s="7"/>
      <c r="D75" s="7"/>
    </row>
    <row r="76" customFormat="false" ht="12.75" hidden="false" customHeight="false" outlineLevel="0" collapsed="false">
      <c r="B76" s="7"/>
      <c r="C76" s="7"/>
      <c r="D76" s="7"/>
    </row>
    <row r="77" customFormat="false" ht="12.75" hidden="false" customHeight="false" outlineLevel="0" collapsed="false">
      <c r="B77" s="7"/>
      <c r="C77" s="7"/>
      <c r="D77" s="7"/>
    </row>
    <row r="78" customFormat="false" ht="12.75" hidden="false" customHeight="false" outlineLevel="0" collapsed="false">
      <c r="B78" s="7"/>
      <c r="C78" s="7"/>
      <c r="D78" s="7"/>
    </row>
    <row r="79" customFormat="false" ht="12.75" hidden="false" customHeight="false" outlineLevel="0" collapsed="false">
      <c r="B79" s="7"/>
      <c r="C79" s="7"/>
      <c r="D79" s="7"/>
    </row>
    <row r="80" customFormat="false" ht="12.75" hidden="false" customHeight="false" outlineLevel="0" collapsed="false">
      <c r="B80" s="7"/>
      <c r="C80" s="7"/>
      <c r="D80" s="7"/>
    </row>
    <row r="81" customFormat="false" ht="12.75" hidden="false" customHeight="false" outlineLevel="0" collapsed="false">
      <c r="B81" s="7"/>
      <c r="C81" s="7"/>
      <c r="D81" s="7"/>
    </row>
    <row r="82" customFormat="false" ht="12.75" hidden="false" customHeight="false" outlineLevel="0" collapsed="false">
      <c r="B82" s="7"/>
      <c r="C82" s="7"/>
      <c r="D82" s="7"/>
    </row>
    <row r="83" customFormat="false" ht="12.75" hidden="false" customHeight="false" outlineLevel="0" collapsed="false">
      <c r="B83" s="7"/>
      <c r="C83" s="7"/>
      <c r="D83" s="7"/>
    </row>
    <row r="84" customFormat="false" ht="12.75" hidden="false" customHeight="false" outlineLevel="0" collapsed="false">
      <c r="B84" s="7"/>
      <c r="C84" s="7"/>
      <c r="D84" s="7"/>
    </row>
    <row r="85" customFormat="false" ht="12.75" hidden="false" customHeight="false" outlineLevel="0" collapsed="false">
      <c r="B85" s="7"/>
      <c r="C85" s="7"/>
      <c r="D85" s="7"/>
    </row>
    <row r="86" customFormat="false" ht="12.75" hidden="false" customHeight="false" outlineLevel="0" collapsed="false">
      <c r="B86" s="7"/>
      <c r="C86" s="7"/>
      <c r="D86" s="7"/>
    </row>
    <row r="87" customFormat="false" ht="12.75" hidden="false" customHeight="false" outlineLevel="0" collapsed="false">
      <c r="B87" s="7"/>
      <c r="C87" s="7"/>
      <c r="D87" s="7"/>
    </row>
    <row r="88" customFormat="false" ht="12.75" hidden="false" customHeight="false" outlineLevel="0" collapsed="false">
      <c r="B88" s="7"/>
      <c r="C88" s="7"/>
      <c r="D88" s="7"/>
    </row>
    <row r="89" customFormat="false" ht="12.75" hidden="false" customHeight="false" outlineLevel="0" collapsed="false">
      <c r="B89" s="7"/>
      <c r="C89" s="7"/>
      <c r="D89" s="7"/>
    </row>
    <row r="90" customFormat="false" ht="12.75" hidden="false" customHeight="false" outlineLevel="0" collapsed="false">
      <c r="B90" s="7"/>
      <c r="C90" s="7"/>
      <c r="D90" s="7"/>
    </row>
    <row r="91" customFormat="false" ht="12.75" hidden="false" customHeight="false" outlineLevel="0" collapsed="false">
      <c r="B91" s="7"/>
      <c r="C91" s="7"/>
      <c r="D91" s="7"/>
    </row>
    <row r="92" customFormat="false" ht="12.75" hidden="false" customHeight="false" outlineLevel="0" collapsed="false">
      <c r="B92" s="7"/>
      <c r="C92" s="7"/>
      <c r="D92" s="7"/>
    </row>
    <row r="93" customFormat="false" ht="12.75" hidden="false" customHeight="false" outlineLevel="0" collapsed="false">
      <c r="B93" s="7"/>
      <c r="C93" s="7"/>
      <c r="D93" s="7"/>
    </row>
    <row r="94" customFormat="false" ht="12.75" hidden="false" customHeight="false" outlineLevel="0" collapsed="false">
      <c r="B94" s="7"/>
      <c r="C94" s="7"/>
      <c r="D94" s="7"/>
    </row>
    <row r="95" customFormat="false" ht="12.75" hidden="false" customHeight="false" outlineLevel="0" collapsed="false">
      <c r="B95" s="7"/>
      <c r="C95" s="7"/>
      <c r="D95" s="7"/>
    </row>
    <row r="96" customFormat="false" ht="12.75" hidden="false" customHeight="false" outlineLevel="0" collapsed="false">
      <c r="B96" s="7"/>
      <c r="C96" s="7"/>
      <c r="D96" s="7"/>
    </row>
    <row r="97" customFormat="false" ht="12.75" hidden="false" customHeight="false" outlineLevel="0" collapsed="false">
      <c r="B97" s="7"/>
      <c r="C97" s="7"/>
      <c r="D97" s="7"/>
    </row>
    <row r="98" customFormat="false" ht="12.75" hidden="false" customHeight="false" outlineLevel="0" collapsed="false">
      <c r="B98" s="7"/>
      <c r="C98" s="7"/>
      <c r="D98" s="7"/>
    </row>
    <row r="99" customFormat="false" ht="12.75" hidden="false" customHeight="false" outlineLevel="0" collapsed="false">
      <c r="B99" s="7"/>
      <c r="C99" s="7"/>
      <c r="D99" s="7"/>
    </row>
    <row r="100" customFormat="false" ht="12.75" hidden="false" customHeight="false" outlineLevel="0" collapsed="false">
      <c r="B100" s="7"/>
      <c r="C100" s="7"/>
      <c r="D100" s="7"/>
    </row>
    <row r="101" customFormat="false" ht="12.75" hidden="false" customHeight="false" outlineLevel="0" collapsed="false">
      <c r="B101" s="7"/>
      <c r="C101" s="7"/>
      <c r="D101" s="7"/>
    </row>
    <row r="102" customFormat="false" ht="12.75" hidden="false" customHeight="false" outlineLevel="0" collapsed="false">
      <c r="B102" s="7"/>
      <c r="C102" s="7"/>
      <c r="D102" s="7"/>
    </row>
    <row r="103" customFormat="false" ht="12.75" hidden="false" customHeight="false" outlineLevel="0" collapsed="false">
      <c r="B103" s="7"/>
      <c r="C103" s="7"/>
      <c r="D103" s="7"/>
    </row>
    <row r="104" customFormat="false" ht="12.75" hidden="false" customHeight="false" outlineLevel="0" collapsed="false">
      <c r="B104" s="7"/>
      <c r="C104" s="7"/>
      <c r="D104" s="7"/>
    </row>
    <row r="105" customFormat="false" ht="12.75" hidden="false" customHeight="false" outlineLevel="0" collapsed="false">
      <c r="B105" s="7"/>
      <c r="C105" s="7"/>
      <c r="D105" s="7"/>
    </row>
    <row r="106" customFormat="false" ht="12.75" hidden="false" customHeight="false" outlineLevel="0" collapsed="false">
      <c r="B106" s="7"/>
      <c r="C106" s="7"/>
      <c r="D106" s="7"/>
    </row>
    <row r="107" customFormat="false" ht="12.75" hidden="false" customHeight="false" outlineLevel="0" collapsed="false">
      <c r="B107" s="7"/>
      <c r="C107" s="7"/>
      <c r="D107" s="7"/>
    </row>
    <row r="108" customFormat="false" ht="12.75" hidden="false" customHeight="false" outlineLevel="0" collapsed="false">
      <c r="B108" s="7"/>
      <c r="C108" s="7"/>
      <c r="D108" s="7"/>
    </row>
    <row r="109" customFormat="false" ht="12.75" hidden="false" customHeight="false" outlineLevel="0" collapsed="false">
      <c r="B109" s="7"/>
      <c r="C109" s="7"/>
      <c r="D109" s="7"/>
    </row>
    <row r="110" customFormat="false" ht="12.75" hidden="false" customHeight="false" outlineLevel="0" collapsed="false">
      <c r="B110" s="7"/>
      <c r="C110" s="7"/>
      <c r="D110" s="7"/>
    </row>
    <row r="111" customFormat="false" ht="12.75" hidden="false" customHeight="false" outlineLevel="0" collapsed="false">
      <c r="B111" s="7"/>
      <c r="C111" s="7"/>
      <c r="D111" s="7"/>
    </row>
    <row r="112" customFormat="false" ht="12.75" hidden="false" customHeight="false" outlineLevel="0" collapsed="false">
      <c r="B112" s="7"/>
      <c r="C112" s="7"/>
      <c r="D112" s="7"/>
    </row>
    <row r="113" customFormat="false" ht="12.75" hidden="false" customHeight="false" outlineLevel="0" collapsed="false">
      <c r="B113" s="7"/>
      <c r="C113" s="7"/>
      <c r="D113" s="7"/>
    </row>
    <row r="114" customFormat="false" ht="12.75" hidden="false" customHeight="false" outlineLevel="0" collapsed="false">
      <c r="B114" s="7"/>
      <c r="C114" s="7"/>
      <c r="D114" s="7"/>
    </row>
    <row r="115" customFormat="false" ht="12.75" hidden="false" customHeight="false" outlineLevel="0" collapsed="false">
      <c r="B115" s="7"/>
      <c r="C115" s="7"/>
      <c r="D115" s="7"/>
    </row>
    <row r="116" customFormat="false" ht="12.75" hidden="false" customHeight="false" outlineLevel="0" collapsed="false">
      <c r="B116" s="7"/>
      <c r="C116" s="7"/>
      <c r="D116" s="7"/>
    </row>
    <row r="117" customFormat="false" ht="12.75" hidden="false" customHeight="false" outlineLevel="0" collapsed="false">
      <c r="B117" s="7"/>
      <c r="C117" s="7"/>
      <c r="D117" s="7"/>
    </row>
    <row r="118" customFormat="false" ht="12.75" hidden="false" customHeight="false" outlineLevel="0" collapsed="false">
      <c r="B118" s="7"/>
      <c r="C118" s="7"/>
      <c r="D118" s="7"/>
    </row>
    <row r="119" customFormat="false" ht="12.75" hidden="false" customHeight="false" outlineLevel="0" collapsed="false">
      <c r="B119" s="7"/>
      <c r="C119" s="7"/>
      <c r="D119" s="7"/>
    </row>
    <row r="120" customFormat="false" ht="12.75" hidden="false" customHeight="false" outlineLevel="0" collapsed="false">
      <c r="B120" s="7"/>
      <c r="C120" s="7"/>
      <c r="D120" s="7"/>
    </row>
    <row r="121" customFormat="false" ht="12.75" hidden="false" customHeight="false" outlineLevel="0" collapsed="false">
      <c r="B121" s="7"/>
      <c r="C121" s="7"/>
      <c r="D121" s="7"/>
    </row>
    <row r="122" customFormat="false" ht="12.75" hidden="false" customHeight="false" outlineLevel="0" collapsed="false">
      <c r="B122" s="7"/>
      <c r="C122" s="7"/>
      <c r="D122" s="7"/>
    </row>
    <row r="123" customFormat="false" ht="12.75" hidden="false" customHeight="false" outlineLevel="0" collapsed="false">
      <c r="B123" s="7"/>
      <c r="C123" s="7"/>
      <c r="D123" s="7"/>
    </row>
    <row r="124" customFormat="false" ht="12.75" hidden="false" customHeight="false" outlineLevel="0" collapsed="false">
      <c r="B124" s="7"/>
      <c r="C124" s="7"/>
      <c r="D124" s="7"/>
    </row>
    <row r="125" customFormat="false" ht="12.75" hidden="false" customHeight="false" outlineLevel="0" collapsed="false">
      <c r="B125" s="7"/>
      <c r="C125" s="7"/>
      <c r="D125" s="7"/>
    </row>
    <row r="126" customFormat="false" ht="12.75" hidden="false" customHeight="false" outlineLevel="0" collapsed="false">
      <c r="B126" s="7"/>
      <c r="C126" s="7"/>
      <c r="D126" s="7"/>
    </row>
    <row r="127" customFormat="false" ht="12.75" hidden="false" customHeight="false" outlineLevel="0" collapsed="false">
      <c r="B127" s="7"/>
      <c r="C127" s="7"/>
      <c r="D127" s="7"/>
    </row>
    <row r="128" customFormat="false" ht="12.75" hidden="false" customHeight="false" outlineLevel="0" collapsed="false">
      <c r="B128" s="7"/>
      <c r="C128" s="7"/>
      <c r="D128" s="7"/>
    </row>
    <row r="129" customFormat="false" ht="12.75" hidden="false" customHeight="false" outlineLevel="0" collapsed="false">
      <c r="B129" s="7"/>
      <c r="C129" s="7"/>
      <c r="D129" s="7"/>
    </row>
    <row r="130" customFormat="false" ht="12.75" hidden="false" customHeight="false" outlineLevel="0" collapsed="false">
      <c r="B130" s="7"/>
      <c r="C130" s="7"/>
      <c r="D130" s="7"/>
    </row>
    <row r="131" customFormat="false" ht="12.75" hidden="false" customHeight="false" outlineLevel="0" collapsed="false">
      <c r="B131" s="7"/>
      <c r="C131" s="7"/>
      <c r="D131" s="7"/>
    </row>
    <row r="132" customFormat="false" ht="12.75" hidden="false" customHeight="false" outlineLevel="0" collapsed="false">
      <c r="B132" s="7"/>
      <c r="C132" s="7"/>
      <c r="D132" s="7"/>
    </row>
    <row r="133" customFormat="false" ht="12.75" hidden="false" customHeight="false" outlineLevel="0" collapsed="false">
      <c r="B133" s="7"/>
      <c r="C133" s="7"/>
      <c r="D133" s="7"/>
    </row>
    <row r="134" customFormat="false" ht="12.75" hidden="false" customHeight="false" outlineLevel="0" collapsed="false">
      <c r="B134" s="7"/>
      <c r="C134" s="7"/>
      <c r="D134" s="7"/>
    </row>
    <row r="135" customFormat="false" ht="12.75" hidden="false" customHeight="false" outlineLevel="0" collapsed="false">
      <c r="B135" s="7"/>
      <c r="C135" s="7"/>
      <c r="D135" s="7"/>
    </row>
    <row r="136" customFormat="false" ht="12.75" hidden="false" customHeight="false" outlineLevel="0" collapsed="false">
      <c r="B136" s="7"/>
      <c r="C136" s="7"/>
      <c r="D136" s="7"/>
    </row>
    <row r="137" customFormat="false" ht="12.75" hidden="false" customHeight="false" outlineLevel="0" collapsed="false">
      <c r="B137" s="7"/>
      <c r="C137" s="7"/>
      <c r="D137" s="7"/>
    </row>
    <row r="138" customFormat="false" ht="12.75" hidden="false" customHeight="false" outlineLevel="0" collapsed="false">
      <c r="B138" s="7"/>
      <c r="C138" s="7"/>
      <c r="D138" s="7"/>
    </row>
    <row r="139" customFormat="false" ht="12.75" hidden="false" customHeight="false" outlineLevel="0" collapsed="false">
      <c r="B139" s="7"/>
      <c r="C139" s="7"/>
      <c r="D139" s="7"/>
    </row>
    <row r="140" customFormat="false" ht="12.75" hidden="false" customHeight="false" outlineLevel="0" collapsed="false">
      <c r="B140" s="7"/>
      <c r="C140" s="7"/>
      <c r="D140" s="7"/>
    </row>
    <row r="141" customFormat="false" ht="12.75" hidden="false" customHeight="false" outlineLevel="0" collapsed="false">
      <c r="B141" s="7"/>
      <c r="C141" s="7"/>
      <c r="D141" s="7"/>
    </row>
    <row r="142" customFormat="false" ht="12.75" hidden="false" customHeight="false" outlineLevel="0" collapsed="false">
      <c r="B142" s="7"/>
      <c r="C142" s="7"/>
      <c r="D142" s="7"/>
    </row>
    <row r="143" customFormat="false" ht="12.75" hidden="false" customHeight="false" outlineLevel="0" collapsed="false">
      <c r="B143" s="7"/>
      <c r="C143" s="7"/>
      <c r="D143" s="7"/>
    </row>
    <row r="144" customFormat="false" ht="12.75" hidden="false" customHeight="false" outlineLevel="0" collapsed="false">
      <c r="B144" s="7"/>
      <c r="C144" s="7"/>
      <c r="D144" s="7"/>
    </row>
    <row r="145" customFormat="false" ht="12.75" hidden="false" customHeight="false" outlineLevel="0" collapsed="false">
      <c r="B145" s="7"/>
      <c r="C145" s="7"/>
      <c r="D145" s="7"/>
    </row>
    <row r="146" customFormat="false" ht="12.75" hidden="false" customHeight="false" outlineLevel="0" collapsed="false">
      <c r="B146" s="7"/>
      <c r="C146" s="7"/>
      <c r="D146" s="7"/>
    </row>
    <row r="147" customFormat="false" ht="12.75" hidden="false" customHeight="false" outlineLevel="0" collapsed="false">
      <c r="B147" s="7"/>
      <c r="C147" s="7"/>
      <c r="D147" s="7"/>
    </row>
    <row r="148" customFormat="false" ht="12.75" hidden="false" customHeight="false" outlineLevel="0" collapsed="false">
      <c r="B148" s="7"/>
      <c r="C148" s="7"/>
      <c r="D148" s="7"/>
    </row>
    <row r="149" customFormat="false" ht="12.75" hidden="false" customHeight="false" outlineLevel="0" collapsed="false">
      <c r="B149" s="7"/>
      <c r="C149" s="7"/>
      <c r="D149" s="7"/>
    </row>
    <row r="150" customFormat="false" ht="12.75" hidden="false" customHeight="false" outlineLevel="0" collapsed="false">
      <c r="B150" s="7"/>
      <c r="C150" s="7"/>
      <c r="D150" s="7"/>
    </row>
    <row r="151" customFormat="false" ht="12.75" hidden="false" customHeight="false" outlineLevel="0" collapsed="false">
      <c r="B151" s="7"/>
      <c r="C151" s="7"/>
      <c r="D151" s="7"/>
    </row>
    <row r="152" customFormat="false" ht="12.75" hidden="false" customHeight="false" outlineLevel="0" collapsed="false">
      <c r="B152" s="7"/>
      <c r="C152" s="7"/>
      <c r="D152" s="7"/>
    </row>
    <row r="153" customFormat="false" ht="12.75" hidden="false" customHeight="false" outlineLevel="0" collapsed="false">
      <c r="B153" s="7"/>
      <c r="C153" s="7"/>
      <c r="D153" s="7"/>
    </row>
    <row r="154" customFormat="false" ht="12.75" hidden="false" customHeight="false" outlineLevel="0" collapsed="false">
      <c r="B154" s="7"/>
      <c r="C154" s="7"/>
      <c r="D154" s="7"/>
    </row>
    <row r="155" customFormat="false" ht="12.75" hidden="false" customHeight="false" outlineLevel="0" collapsed="false">
      <c r="B155" s="7"/>
      <c r="C155" s="7"/>
      <c r="D155" s="7"/>
    </row>
    <row r="156" customFormat="false" ht="12.75" hidden="false" customHeight="false" outlineLevel="0" collapsed="false">
      <c r="B156" s="7"/>
      <c r="C156" s="7"/>
      <c r="D156" s="7"/>
    </row>
    <row r="157" customFormat="false" ht="12.75" hidden="false" customHeight="false" outlineLevel="0" collapsed="false">
      <c r="B157" s="7"/>
      <c r="C157" s="7"/>
      <c r="D157" s="7"/>
    </row>
    <row r="158" customFormat="false" ht="12.75" hidden="false" customHeight="false" outlineLevel="0" collapsed="false">
      <c r="B158" s="7"/>
      <c r="C158" s="7"/>
      <c r="D158" s="7"/>
    </row>
    <row r="159" customFormat="false" ht="12.75" hidden="false" customHeight="false" outlineLevel="0" collapsed="false">
      <c r="B159" s="7"/>
      <c r="C159" s="7"/>
      <c r="D159" s="7"/>
    </row>
    <row r="160" customFormat="false" ht="12.75" hidden="false" customHeight="false" outlineLevel="0" collapsed="false">
      <c r="B160" s="7"/>
      <c r="C160" s="7"/>
      <c r="D160" s="7"/>
    </row>
    <row r="161" customFormat="false" ht="12.75" hidden="false" customHeight="false" outlineLevel="0" collapsed="false">
      <c r="B161" s="7"/>
      <c r="C161" s="7"/>
      <c r="D161" s="7"/>
    </row>
    <row r="162" customFormat="false" ht="12.75" hidden="false" customHeight="false" outlineLevel="0" collapsed="false">
      <c r="B162" s="7"/>
      <c r="C162" s="7"/>
      <c r="D162" s="7"/>
    </row>
    <row r="163" customFormat="false" ht="12.75" hidden="false" customHeight="false" outlineLevel="0" collapsed="false">
      <c r="B163" s="7"/>
      <c r="C163" s="7"/>
      <c r="D163" s="7"/>
    </row>
    <row r="164" customFormat="false" ht="12.75" hidden="false" customHeight="false" outlineLevel="0" collapsed="false">
      <c r="B164" s="7"/>
      <c r="C164" s="7"/>
      <c r="D164" s="7"/>
    </row>
    <row r="165" customFormat="false" ht="12.75" hidden="false" customHeight="false" outlineLevel="0" collapsed="false">
      <c r="B165" s="7"/>
      <c r="C165" s="7"/>
      <c r="D165" s="7"/>
    </row>
    <row r="166" customFormat="false" ht="12.75" hidden="false" customHeight="false" outlineLevel="0" collapsed="false">
      <c r="B166" s="7"/>
      <c r="C166" s="7"/>
      <c r="D166" s="7"/>
    </row>
    <row r="167" customFormat="false" ht="12.75" hidden="false" customHeight="false" outlineLevel="0" collapsed="false">
      <c r="B167" s="7"/>
      <c r="C167" s="7"/>
      <c r="D167" s="7"/>
    </row>
    <row r="168" customFormat="false" ht="12.75" hidden="false" customHeight="false" outlineLevel="0" collapsed="false">
      <c r="B168" s="7"/>
      <c r="C168" s="7"/>
      <c r="D168" s="7"/>
    </row>
    <row r="169" customFormat="false" ht="12.75" hidden="false" customHeight="false" outlineLevel="0" collapsed="false">
      <c r="B169" s="7"/>
      <c r="C169" s="7"/>
      <c r="D169" s="7"/>
    </row>
    <row r="170" customFormat="false" ht="12.75" hidden="false" customHeight="false" outlineLevel="0" collapsed="false">
      <c r="B170" s="7"/>
      <c r="C170" s="7"/>
      <c r="D170" s="7"/>
    </row>
    <row r="171" customFormat="false" ht="12.75" hidden="false" customHeight="false" outlineLevel="0" collapsed="false">
      <c r="B171" s="7"/>
      <c r="C171" s="7"/>
      <c r="D171" s="7"/>
    </row>
    <row r="172" customFormat="false" ht="12.75" hidden="false" customHeight="false" outlineLevel="0" collapsed="false">
      <c r="B172" s="7"/>
      <c r="C172" s="7"/>
      <c r="D172" s="7"/>
    </row>
    <row r="173" customFormat="false" ht="12.75" hidden="false" customHeight="false" outlineLevel="0" collapsed="false">
      <c r="B173" s="7"/>
      <c r="C173" s="7"/>
      <c r="D173" s="7"/>
    </row>
    <row r="174" customFormat="false" ht="12.75" hidden="false" customHeight="false" outlineLevel="0" collapsed="false">
      <c r="B174" s="7"/>
      <c r="C174" s="7"/>
      <c r="D174" s="7"/>
    </row>
    <row r="175" customFormat="false" ht="12.75" hidden="false" customHeight="false" outlineLevel="0" collapsed="false">
      <c r="B175" s="7"/>
      <c r="C175" s="7"/>
      <c r="D175" s="7"/>
    </row>
    <row r="176" customFormat="false" ht="12.75" hidden="false" customHeight="false" outlineLevel="0" collapsed="false">
      <c r="B176" s="7"/>
      <c r="C176" s="7"/>
      <c r="D176" s="7"/>
    </row>
    <row r="177" customFormat="false" ht="12.75" hidden="false" customHeight="false" outlineLevel="0" collapsed="false">
      <c r="B177" s="7"/>
      <c r="C177" s="7"/>
      <c r="D177" s="7"/>
    </row>
    <row r="178" customFormat="false" ht="12.75" hidden="false" customHeight="false" outlineLevel="0" collapsed="false">
      <c r="B178" s="7"/>
      <c r="C178" s="7"/>
      <c r="D178" s="7"/>
    </row>
    <row r="179" customFormat="false" ht="12.75" hidden="false" customHeight="false" outlineLevel="0" collapsed="false">
      <c r="B179" s="7"/>
      <c r="C179" s="7"/>
      <c r="D179" s="7"/>
    </row>
    <row r="180" customFormat="false" ht="12.75" hidden="false" customHeight="false" outlineLevel="0" collapsed="false">
      <c r="B180" s="7"/>
      <c r="C180" s="7"/>
      <c r="D180" s="7"/>
    </row>
    <row r="181" customFormat="false" ht="12.75" hidden="false" customHeight="false" outlineLevel="0" collapsed="false">
      <c r="B181" s="7"/>
      <c r="C181" s="7"/>
      <c r="D181" s="7"/>
    </row>
    <row r="182" customFormat="false" ht="12.75" hidden="false" customHeight="false" outlineLevel="0" collapsed="false">
      <c r="B182" s="7"/>
      <c r="C182" s="7"/>
      <c r="D182" s="7"/>
    </row>
    <row r="183" customFormat="false" ht="12.75" hidden="false" customHeight="false" outlineLevel="0" collapsed="false">
      <c r="B183" s="7"/>
      <c r="C183" s="7"/>
      <c r="D183" s="7"/>
    </row>
    <row r="184" customFormat="false" ht="12.75" hidden="false" customHeight="false" outlineLevel="0" collapsed="false">
      <c r="B184" s="7"/>
      <c r="C184" s="7"/>
      <c r="D184" s="7"/>
    </row>
    <row r="185" customFormat="false" ht="12.75" hidden="false" customHeight="false" outlineLevel="0" collapsed="false">
      <c r="B185" s="7"/>
      <c r="C185" s="7"/>
      <c r="D185" s="7"/>
    </row>
    <row r="186" customFormat="false" ht="12.75" hidden="false" customHeight="false" outlineLevel="0" collapsed="false">
      <c r="B186" s="7"/>
      <c r="C186" s="7"/>
      <c r="D186" s="7"/>
    </row>
    <row r="187" customFormat="false" ht="12.75" hidden="false" customHeight="false" outlineLevel="0" collapsed="false">
      <c r="B187" s="7"/>
      <c r="C187" s="7"/>
      <c r="D187" s="7"/>
    </row>
    <row r="188" customFormat="false" ht="12.75" hidden="false" customHeight="false" outlineLevel="0" collapsed="false">
      <c r="B188" s="7"/>
      <c r="C188" s="7"/>
      <c r="D188" s="7"/>
    </row>
    <row r="189" customFormat="false" ht="12.75" hidden="false" customHeight="false" outlineLevel="0" collapsed="false">
      <c r="B189" s="7"/>
      <c r="C189" s="7"/>
      <c r="D189" s="7"/>
    </row>
    <row r="190" customFormat="false" ht="12.75" hidden="false" customHeight="false" outlineLevel="0" collapsed="false">
      <c r="B190" s="7"/>
      <c r="C190" s="7"/>
      <c r="D190" s="7"/>
    </row>
    <row r="191" customFormat="false" ht="12.75" hidden="false" customHeight="false" outlineLevel="0" collapsed="false">
      <c r="B191" s="7"/>
      <c r="C191" s="7"/>
      <c r="D191" s="7"/>
    </row>
    <row r="192" customFormat="false" ht="12.75" hidden="false" customHeight="false" outlineLevel="0" collapsed="false">
      <c r="B192" s="7"/>
      <c r="C192" s="7"/>
      <c r="D192" s="7"/>
    </row>
    <row r="193" customFormat="false" ht="12.75" hidden="false" customHeight="false" outlineLevel="0" collapsed="false">
      <c r="B193" s="7"/>
      <c r="C193" s="7"/>
      <c r="D193" s="7"/>
    </row>
    <row r="194" customFormat="false" ht="12.75" hidden="false" customHeight="false" outlineLevel="0" collapsed="false">
      <c r="B194" s="7"/>
      <c r="C194" s="7"/>
      <c r="D194" s="7"/>
    </row>
    <row r="195" customFormat="false" ht="12.75" hidden="false" customHeight="false" outlineLevel="0" collapsed="false">
      <c r="B195" s="7"/>
      <c r="C195" s="7"/>
      <c r="D195" s="7"/>
    </row>
    <row r="196" customFormat="false" ht="12.75" hidden="false" customHeight="false" outlineLevel="0" collapsed="false">
      <c r="B196" s="7"/>
      <c r="C196" s="7"/>
      <c r="D196" s="7"/>
    </row>
    <row r="197" customFormat="false" ht="12.75" hidden="false" customHeight="false" outlineLevel="0" collapsed="false">
      <c r="B197" s="7"/>
      <c r="C197" s="7"/>
      <c r="D197" s="7"/>
    </row>
    <row r="198" customFormat="false" ht="12.75" hidden="false" customHeight="false" outlineLevel="0" collapsed="false">
      <c r="B198" s="7"/>
      <c r="C198" s="7"/>
      <c r="D198" s="7"/>
    </row>
    <row r="199" customFormat="false" ht="12.75" hidden="false" customHeight="false" outlineLevel="0" collapsed="false">
      <c r="B199" s="7"/>
      <c r="C199" s="7"/>
      <c r="D199" s="7"/>
    </row>
    <row r="200" customFormat="false" ht="12.75" hidden="false" customHeight="false" outlineLevel="0" collapsed="false">
      <c r="B200" s="7"/>
      <c r="C200" s="7"/>
      <c r="D200" s="7"/>
    </row>
    <row r="201" customFormat="false" ht="12.75" hidden="false" customHeight="false" outlineLevel="0" collapsed="false">
      <c r="B201" s="7"/>
      <c r="C201" s="7"/>
      <c r="D201" s="7"/>
    </row>
    <row r="202" customFormat="false" ht="12.75" hidden="false" customHeight="false" outlineLevel="0" collapsed="false">
      <c r="B202" s="7"/>
      <c r="C202" s="7"/>
      <c r="D202" s="7"/>
    </row>
    <row r="203" customFormat="false" ht="12.75" hidden="false" customHeight="false" outlineLevel="0" collapsed="false">
      <c r="B203" s="7"/>
      <c r="C203" s="7"/>
      <c r="D203" s="7"/>
    </row>
    <row r="204" customFormat="false" ht="12.75" hidden="false" customHeight="false" outlineLevel="0" collapsed="false">
      <c r="B204" s="7"/>
      <c r="C204" s="7"/>
      <c r="D204" s="7"/>
    </row>
    <row r="205" customFormat="false" ht="12.75" hidden="false" customHeight="false" outlineLevel="0" collapsed="false">
      <c r="B205" s="7"/>
      <c r="C205" s="7"/>
      <c r="D205" s="7"/>
    </row>
    <row r="206" customFormat="false" ht="12.75" hidden="false" customHeight="false" outlineLevel="0" collapsed="false">
      <c r="B206" s="7"/>
      <c r="C206" s="7"/>
      <c r="D206" s="7"/>
    </row>
    <row r="207" customFormat="false" ht="12.75" hidden="false" customHeight="false" outlineLevel="0" collapsed="false">
      <c r="B207" s="7"/>
      <c r="C207" s="7"/>
      <c r="D207" s="7"/>
    </row>
    <row r="208" customFormat="false" ht="12.75" hidden="false" customHeight="false" outlineLevel="0" collapsed="false">
      <c r="B208" s="7"/>
      <c r="C208" s="7"/>
      <c r="D208" s="7"/>
    </row>
    <row r="209" customFormat="false" ht="12.75" hidden="false" customHeight="false" outlineLevel="0" collapsed="false">
      <c r="B209" s="7"/>
      <c r="C209" s="7"/>
      <c r="D209" s="7"/>
    </row>
    <row r="210" customFormat="false" ht="12.75" hidden="false" customHeight="false" outlineLevel="0" collapsed="false">
      <c r="B210" s="7"/>
      <c r="C210" s="7"/>
      <c r="D210" s="7"/>
    </row>
    <row r="211" customFormat="false" ht="12.75" hidden="false" customHeight="false" outlineLevel="0" collapsed="false">
      <c r="B211" s="7"/>
      <c r="C211" s="7"/>
      <c r="D211" s="7"/>
    </row>
    <row r="212" customFormat="false" ht="12.75" hidden="false" customHeight="false" outlineLevel="0" collapsed="false">
      <c r="B212" s="7"/>
      <c r="C212" s="7"/>
      <c r="D212" s="7"/>
    </row>
    <row r="213" customFormat="false" ht="12.75" hidden="false" customHeight="false" outlineLevel="0" collapsed="false">
      <c r="B213" s="7"/>
      <c r="C213" s="7"/>
      <c r="D213" s="7"/>
    </row>
    <row r="214" customFormat="false" ht="12.75" hidden="false" customHeight="false" outlineLevel="0" collapsed="false">
      <c r="B214" s="7"/>
      <c r="C214" s="7"/>
      <c r="D214" s="7"/>
    </row>
    <row r="215" customFormat="false" ht="12.75" hidden="false" customHeight="false" outlineLevel="0" collapsed="false">
      <c r="B215" s="7"/>
      <c r="C215" s="7"/>
      <c r="D215" s="7"/>
    </row>
    <row r="216" customFormat="false" ht="12.75" hidden="false" customHeight="false" outlineLevel="0" collapsed="false">
      <c r="B216" s="7"/>
      <c r="C216" s="7"/>
      <c r="D216" s="7"/>
    </row>
    <row r="217" customFormat="false" ht="12.75" hidden="false" customHeight="false" outlineLevel="0" collapsed="false">
      <c r="B217" s="7"/>
      <c r="C217" s="7"/>
      <c r="D217" s="7"/>
    </row>
    <row r="218" customFormat="false" ht="12.75" hidden="false" customHeight="false" outlineLevel="0" collapsed="false">
      <c r="B218" s="7"/>
      <c r="C218" s="7"/>
      <c r="D218" s="7"/>
    </row>
    <row r="219" customFormat="false" ht="12.75" hidden="false" customHeight="false" outlineLevel="0" collapsed="false">
      <c r="B219" s="7"/>
      <c r="C219" s="7"/>
      <c r="D219" s="7"/>
    </row>
    <row r="220" customFormat="false" ht="12.75" hidden="false" customHeight="false" outlineLevel="0" collapsed="false">
      <c r="B220" s="7"/>
      <c r="C220" s="7"/>
      <c r="D220" s="7"/>
    </row>
    <row r="221" customFormat="false" ht="12.75" hidden="false" customHeight="false" outlineLevel="0" collapsed="false">
      <c r="B221" s="7"/>
      <c r="C221" s="7"/>
      <c r="D221" s="7"/>
    </row>
    <row r="222" customFormat="false" ht="12.75" hidden="false" customHeight="false" outlineLevel="0" collapsed="false">
      <c r="B222" s="7"/>
      <c r="C222" s="7"/>
      <c r="D222" s="7"/>
    </row>
    <row r="223" customFormat="false" ht="12.75" hidden="false" customHeight="false" outlineLevel="0" collapsed="false">
      <c r="B223" s="7"/>
      <c r="C223" s="7"/>
      <c r="D223" s="7"/>
    </row>
    <row r="224" customFormat="false" ht="12.75" hidden="false" customHeight="false" outlineLevel="0" collapsed="false">
      <c r="B224" s="7"/>
      <c r="C224" s="7"/>
      <c r="D224" s="7"/>
    </row>
    <row r="225" customFormat="false" ht="12.75" hidden="false" customHeight="false" outlineLevel="0" collapsed="false">
      <c r="B225" s="7"/>
      <c r="C225" s="7"/>
      <c r="D225" s="7"/>
    </row>
    <row r="226" customFormat="false" ht="12.75" hidden="false" customHeight="false" outlineLevel="0" collapsed="false">
      <c r="B226" s="7"/>
      <c r="C226" s="7"/>
      <c r="D226" s="7"/>
    </row>
    <row r="227" customFormat="false" ht="12.75" hidden="false" customHeight="false" outlineLevel="0" collapsed="false">
      <c r="B227" s="7"/>
      <c r="C227" s="7"/>
      <c r="D227" s="7"/>
    </row>
    <row r="228" customFormat="false" ht="12.75" hidden="false" customHeight="false" outlineLevel="0" collapsed="false">
      <c r="B228" s="7"/>
      <c r="C228" s="7"/>
      <c r="D228" s="7"/>
    </row>
    <row r="229" customFormat="false" ht="12.75" hidden="false" customHeight="false" outlineLevel="0" collapsed="false">
      <c r="B229" s="7"/>
      <c r="C229" s="7"/>
      <c r="D229" s="7"/>
    </row>
    <row r="230" customFormat="false" ht="12.75" hidden="false" customHeight="false" outlineLevel="0" collapsed="false">
      <c r="B230" s="7"/>
      <c r="C230" s="7"/>
      <c r="D230" s="7"/>
    </row>
    <row r="231" customFormat="false" ht="12.75" hidden="false" customHeight="false" outlineLevel="0" collapsed="false">
      <c r="B231" s="7"/>
      <c r="C231" s="7"/>
      <c r="D231" s="7"/>
    </row>
    <row r="232" customFormat="false" ht="12.75" hidden="false" customHeight="false" outlineLevel="0" collapsed="false">
      <c r="B232" s="7"/>
      <c r="C232" s="7"/>
      <c r="D232" s="7"/>
    </row>
    <row r="233" customFormat="false" ht="12.75" hidden="false" customHeight="false" outlineLevel="0" collapsed="false">
      <c r="B233" s="7"/>
      <c r="C233" s="7"/>
      <c r="D233" s="7"/>
    </row>
    <row r="234" customFormat="false" ht="12.75" hidden="false" customHeight="false" outlineLevel="0" collapsed="false">
      <c r="B234" s="7"/>
      <c r="C234" s="7"/>
      <c r="D234" s="7"/>
    </row>
    <row r="235" customFormat="false" ht="12.75" hidden="false" customHeight="false" outlineLevel="0" collapsed="false">
      <c r="B235" s="7"/>
      <c r="C235" s="7"/>
      <c r="D235" s="7"/>
    </row>
    <row r="236" customFormat="false" ht="12.75" hidden="false" customHeight="false" outlineLevel="0" collapsed="false">
      <c r="B236" s="7"/>
      <c r="C236" s="7"/>
      <c r="D236" s="7"/>
    </row>
    <row r="237" customFormat="false" ht="12.75" hidden="false" customHeight="false" outlineLevel="0" collapsed="false">
      <c r="B237" s="7"/>
      <c r="C237" s="7"/>
      <c r="D237" s="7"/>
    </row>
    <row r="238" customFormat="false" ht="12.75" hidden="false" customHeight="false" outlineLevel="0" collapsed="false">
      <c r="B238" s="7"/>
      <c r="C238" s="7"/>
      <c r="D238" s="7"/>
    </row>
    <row r="239" customFormat="false" ht="12.75" hidden="false" customHeight="false" outlineLevel="0" collapsed="false">
      <c r="B239" s="7"/>
      <c r="C239" s="7"/>
      <c r="D239" s="7"/>
    </row>
    <row r="240" customFormat="false" ht="12.75" hidden="false" customHeight="false" outlineLevel="0" collapsed="false">
      <c r="B240" s="7"/>
      <c r="C240" s="7"/>
      <c r="D240" s="7"/>
    </row>
    <row r="241" customFormat="false" ht="12.75" hidden="false" customHeight="false" outlineLevel="0" collapsed="false">
      <c r="B241" s="7"/>
      <c r="C241" s="7"/>
      <c r="D241" s="7"/>
    </row>
    <row r="242" customFormat="false" ht="12.75" hidden="false" customHeight="false" outlineLevel="0" collapsed="false">
      <c r="B242" s="7"/>
      <c r="C242" s="7"/>
      <c r="D242" s="7"/>
    </row>
    <row r="243" customFormat="false" ht="12.75" hidden="false" customHeight="false" outlineLevel="0" collapsed="false">
      <c r="B243" s="7"/>
      <c r="C243" s="7"/>
      <c r="D243" s="7"/>
    </row>
    <row r="244" customFormat="false" ht="12.75" hidden="false" customHeight="false" outlineLevel="0" collapsed="false">
      <c r="B244" s="7"/>
      <c r="C244" s="7"/>
      <c r="D244" s="7"/>
    </row>
    <row r="245" customFormat="false" ht="12.75" hidden="false" customHeight="false" outlineLevel="0" collapsed="false">
      <c r="B245" s="7"/>
      <c r="C245" s="7"/>
      <c r="D245" s="7"/>
    </row>
    <row r="246" customFormat="false" ht="12.75" hidden="false" customHeight="false" outlineLevel="0" collapsed="false">
      <c r="B246" s="7"/>
      <c r="C246" s="7"/>
      <c r="D246" s="7"/>
    </row>
    <row r="247" customFormat="false" ht="12.75" hidden="false" customHeight="false" outlineLevel="0" collapsed="false">
      <c r="B247" s="7"/>
      <c r="C247" s="7"/>
      <c r="D247" s="7"/>
    </row>
    <row r="248" customFormat="false" ht="12.75" hidden="false" customHeight="false" outlineLevel="0" collapsed="false">
      <c r="B248" s="7"/>
      <c r="C248" s="7"/>
      <c r="D248" s="7"/>
    </row>
    <row r="249" customFormat="false" ht="12.75" hidden="false" customHeight="false" outlineLevel="0" collapsed="false">
      <c r="B249" s="7"/>
      <c r="C249" s="7"/>
      <c r="D249" s="7"/>
    </row>
    <row r="250" customFormat="false" ht="12.75" hidden="false" customHeight="false" outlineLevel="0" collapsed="false">
      <c r="B250" s="7"/>
      <c r="C250" s="7"/>
      <c r="D250" s="7"/>
    </row>
    <row r="251" customFormat="false" ht="12.75" hidden="false" customHeight="false" outlineLevel="0" collapsed="false">
      <c r="B251" s="7"/>
      <c r="C251" s="7"/>
      <c r="D251" s="7"/>
    </row>
    <row r="252" customFormat="false" ht="12.75" hidden="false" customHeight="false" outlineLevel="0" collapsed="false">
      <c r="B252" s="7"/>
      <c r="C252" s="7"/>
      <c r="D252" s="7"/>
    </row>
    <row r="253" customFormat="false" ht="12.75" hidden="false" customHeight="false" outlineLevel="0" collapsed="false">
      <c r="B253" s="7"/>
      <c r="C253" s="7"/>
      <c r="D253" s="7"/>
    </row>
    <row r="254" customFormat="false" ht="12.75" hidden="false" customHeight="false" outlineLevel="0" collapsed="false">
      <c r="B254" s="7"/>
      <c r="C254" s="7"/>
      <c r="D254" s="7"/>
    </row>
    <row r="255" customFormat="false" ht="12.75" hidden="false" customHeight="false" outlineLevel="0" collapsed="false">
      <c r="B255" s="7"/>
      <c r="C255" s="7"/>
      <c r="D255" s="7"/>
    </row>
    <row r="256" customFormat="false" ht="12.75" hidden="false" customHeight="false" outlineLevel="0" collapsed="false">
      <c r="B256" s="7"/>
      <c r="C256" s="7"/>
      <c r="D256" s="7"/>
    </row>
    <row r="257" customFormat="false" ht="12.75" hidden="false" customHeight="false" outlineLevel="0" collapsed="false">
      <c r="B257" s="7"/>
      <c r="C257" s="7"/>
      <c r="D257" s="7"/>
    </row>
    <row r="258" customFormat="false" ht="12.75" hidden="false" customHeight="false" outlineLevel="0" collapsed="false">
      <c r="B258" s="7"/>
      <c r="C258" s="7"/>
      <c r="D258" s="7"/>
    </row>
    <row r="259" customFormat="false" ht="12.75" hidden="false" customHeight="false" outlineLevel="0" collapsed="false">
      <c r="B259" s="7"/>
      <c r="C259" s="7"/>
      <c r="D259" s="7"/>
    </row>
    <row r="260" customFormat="false" ht="12.75" hidden="false" customHeight="false" outlineLevel="0" collapsed="false">
      <c r="B260" s="7"/>
      <c r="C260" s="7"/>
      <c r="D260" s="7"/>
    </row>
    <row r="261" customFormat="false" ht="12.75" hidden="false" customHeight="false" outlineLevel="0" collapsed="false">
      <c r="B261" s="7"/>
      <c r="C261" s="7"/>
      <c r="D261" s="7"/>
    </row>
    <row r="262" customFormat="false" ht="12.75" hidden="false" customHeight="false" outlineLevel="0" collapsed="false">
      <c r="B262" s="7"/>
      <c r="C262" s="7"/>
      <c r="D262" s="7"/>
    </row>
    <row r="263" customFormat="false" ht="12.75" hidden="false" customHeight="false" outlineLevel="0" collapsed="false">
      <c r="B263" s="7"/>
      <c r="C263" s="7"/>
      <c r="D263" s="7"/>
    </row>
    <row r="264" customFormat="false" ht="12.75" hidden="false" customHeight="false" outlineLevel="0" collapsed="false">
      <c r="B264" s="7"/>
      <c r="C264" s="7"/>
      <c r="D264" s="7"/>
    </row>
    <row r="265" customFormat="false" ht="12.75" hidden="false" customHeight="false" outlineLevel="0" collapsed="false">
      <c r="B265" s="7"/>
      <c r="C265" s="7"/>
      <c r="D265" s="7"/>
    </row>
    <row r="266" customFormat="false" ht="12.75" hidden="false" customHeight="false" outlineLevel="0" collapsed="false">
      <c r="B266" s="7"/>
      <c r="C266" s="7"/>
      <c r="D266" s="7"/>
    </row>
    <row r="267" customFormat="false" ht="12.75" hidden="false" customHeight="false" outlineLevel="0" collapsed="false">
      <c r="B267" s="7"/>
      <c r="C267" s="7"/>
      <c r="D267" s="7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LibreOffice/7.2.5.2$Windows_X86_64 LibreOffice_project/499f9727c189e6ef3471021d6132d4c694f357e5</Application>
  <AppVersion>15.0000</AppVersion>
  <Company>home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2006-01-30T13:49:37Z</dcterms:created>
  <dc:creator>elena</dc:creator>
  <dc:description/>
  <dc:language>ru-RU</dc:language>
  <cp:lastModifiedBy/>
  <dcterms:modified xsi:type="dcterms:W3CDTF">2025-03-06T12:20:29Z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