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xr:revisionPtr revIDLastSave="14" documentId="11_A4E51BA835056AD562DAF9FE2D3A6351972AA01C" xr6:coauthVersionLast="47" xr6:coauthVersionMax="47" xr10:uidLastSave="{D7AC1D2A-EA59-47AA-A15D-3E4726DE3771}"/>
  <bookViews>
    <workbookView xWindow="0" yWindow="0" windowWidth="16384" windowHeight="8192" tabRatio="500" firstSheet="2" xr2:uid="{00000000-000D-0000-FFFF-FFFF00000000}"/>
  </bookViews>
  <sheets>
    <sheet name="Лагранж" sheetId="1" r:id="rId1"/>
    <sheet name="Ньютон" sheetId="2" r:id="rId2"/>
    <sheet name="Сплайны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2" l="1"/>
  <c r="F8" i="2"/>
  <c r="D7" i="2"/>
  <c r="E8" i="2"/>
  <c r="D8" i="2"/>
  <c r="J22" i="3"/>
  <c r="J19" i="3"/>
  <c r="J16" i="3"/>
  <c r="G11" i="3"/>
  <c r="B11" i="3"/>
  <c r="G10" i="3"/>
  <c r="B10" i="3"/>
  <c r="G9" i="3"/>
  <c r="B9" i="3"/>
  <c r="B25" i="2"/>
  <c r="D22" i="2"/>
  <c r="D21" i="2"/>
  <c r="D20" i="2"/>
  <c r="C25" i="2" s="1"/>
  <c r="B11" i="2"/>
  <c r="D6" i="2"/>
  <c r="C11" i="2" s="1"/>
  <c r="H25" i="1"/>
  <c r="F25" i="1"/>
  <c r="D25" i="1"/>
  <c r="B25" i="1"/>
  <c r="D21" i="1"/>
  <c r="B21" i="1"/>
  <c r="E9" i="1"/>
  <c r="D9" i="1"/>
  <c r="C9" i="1"/>
  <c r="B9" i="1"/>
  <c r="G9" i="1" s="1"/>
  <c r="H5" i="1"/>
  <c r="J25" i="1" l="1"/>
  <c r="H18" i="1" s="1"/>
  <c r="D11" i="2"/>
  <c r="E21" i="2"/>
  <c r="D25" i="2" s="1"/>
  <c r="E22" i="2"/>
  <c r="F22" i="2" s="1"/>
  <c r="E25" i="2" s="1"/>
  <c r="G25" i="2"/>
  <c r="I20" i="2" s="1"/>
  <c r="C18" i="3"/>
  <c r="C17" i="3"/>
  <c r="C16" i="3"/>
  <c r="B16" i="3"/>
  <c r="I9" i="3"/>
  <c r="F21" i="3"/>
  <c r="F20" i="3"/>
  <c r="E20" i="3"/>
  <c r="F19" i="3"/>
  <c r="E19" i="3"/>
  <c r="D19" i="3"/>
  <c r="I10" i="3"/>
  <c r="I23" i="3"/>
  <c r="I22" i="3"/>
  <c r="H22" i="3"/>
  <c r="G22" i="3"/>
  <c r="I11" i="3"/>
  <c r="E11" i="2" l="1"/>
  <c r="G11" i="2" s="1"/>
  <c r="I6" i="2" s="1"/>
  <c r="B25" i="3" a="1"/>
  <c r="I32" i="3" l="1"/>
  <c r="H32" i="3"/>
  <c r="G32" i="3"/>
  <c r="F32" i="3"/>
  <c r="E32" i="3"/>
  <c r="D32" i="3"/>
  <c r="C32" i="3"/>
  <c r="B32" i="3"/>
  <c r="I31" i="3"/>
  <c r="H31" i="3"/>
  <c r="G31" i="3"/>
  <c r="F31" i="3"/>
  <c r="E31" i="3"/>
  <c r="D31" i="3"/>
  <c r="C31" i="3"/>
  <c r="B31" i="3"/>
  <c r="I30" i="3"/>
  <c r="H30" i="3"/>
  <c r="G30" i="3"/>
  <c r="F30" i="3"/>
  <c r="E30" i="3"/>
  <c r="D30" i="3"/>
  <c r="C30" i="3"/>
  <c r="B30" i="3"/>
  <c r="I29" i="3"/>
  <c r="H29" i="3"/>
  <c r="G29" i="3"/>
  <c r="F29" i="3"/>
  <c r="E29" i="3"/>
  <c r="D29" i="3"/>
  <c r="C29" i="3"/>
  <c r="B29" i="3"/>
  <c r="I28" i="3"/>
  <c r="H28" i="3"/>
  <c r="G28" i="3"/>
  <c r="F28" i="3"/>
  <c r="E28" i="3"/>
  <c r="D28" i="3"/>
  <c r="C28" i="3"/>
  <c r="B28" i="3"/>
  <c r="I27" i="3"/>
  <c r="H27" i="3"/>
  <c r="G27" i="3"/>
  <c r="F27" i="3"/>
  <c r="E27" i="3"/>
  <c r="D27" i="3"/>
  <c r="C27" i="3"/>
  <c r="B27" i="3"/>
  <c r="I26" i="3"/>
  <c r="H26" i="3"/>
  <c r="G26" i="3"/>
  <c r="F26" i="3"/>
  <c r="E26" i="3"/>
  <c r="D26" i="3"/>
  <c r="C26" i="3"/>
  <c r="B26" i="3"/>
  <c r="I25" i="3"/>
  <c r="H25" i="3"/>
  <c r="G25" i="3"/>
  <c r="F25" i="3"/>
  <c r="E25" i="3"/>
  <c r="D25" i="3"/>
  <c r="C25" i="3"/>
  <c r="B25" i="3"/>
  <c r="L25" i="3" a="1"/>
  <c r="L26" i="3"/>
  <c r="L27" i="3"/>
  <c r="L28" i="3"/>
  <c r="L29" i="3"/>
  <c r="L30" i="3"/>
  <c r="L31" i="3"/>
  <c r="L32" i="3"/>
  <c r="L25" i="3"/>
  <c r="K16" i="3" a="1"/>
  <c r="K17" i="3"/>
  <c r="K18" i="3"/>
  <c r="K19" i="3"/>
  <c r="K20" i="3"/>
  <c r="K21" i="3"/>
  <c r="K22" i="3"/>
  <c r="K23" i="3"/>
  <c r="K16" i="3"/>
  <c r="E11" i="3"/>
  <c r="D11" i="3"/>
  <c r="C11" i="3"/>
  <c r="J11" i="3"/>
  <c r="E10" i="3"/>
  <c r="D10" i="3"/>
  <c r="C10" i="3"/>
  <c r="J10" i="3"/>
  <c r="E9" i="3"/>
  <c r="C9" i="3"/>
  <c r="J9" i="3"/>
  <c r="I5" i="3"/>
</calcChain>
</file>

<file path=xl/sharedStrings.xml><?xml version="1.0" encoding="utf-8"?>
<sst xmlns="http://schemas.openxmlformats.org/spreadsheetml/2006/main" count="135" uniqueCount="104">
  <si>
    <t>Метод Лагранжа</t>
  </si>
  <si>
    <t>Таблично заданная функция</t>
  </si>
  <si>
    <t>Решение</t>
  </si>
  <si>
    <t>Алгоритм:</t>
  </si>
  <si>
    <t>x</t>
  </si>
  <si>
    <t>x=</t>
  </si>
  <si>
    <t>1. Заполнить таблицу исходными данными.</t>
  </si>
  <si>
    <t>y</t>
  </si>
  <si>
    <t>f(x)=</t>
  </si>
  <si>
    <t>2. Ввести точку x.</t>
  </si>
  <si>
    <t>3. Найти li:</t>
  </si>
  <si>
    <r>
      <rPr>
        <sz val="10"/>
        <rFont val="Arial Cyr"/>
        <charset val="204"/>
      </rPr>
      <t>l</t>
    </r>
    <r>
      <rPr>
        <sz val="8"/>
        <rFont val="Arial Cyr"/>
        <charset val="204"/>
      </rPr>
      <t>0</t>
    </r>
  </si>
  <si>
    <r>
      <rPr>
        <sz val="10"/>
        <rFont val="Arial Cyr"/>
        <charset val="204"/>
      </rPr>
      <t>l</t>
    </r>
    <r>
      <rPr>
        <sz val="8"/>
        <rFont val="Arial Cyr"/>
        <charset val="204"/>
      </rPr>
      <t>1</t>
    </r>
  </si>
  <si>
    <r>
      <rPr>
        <sz val="10"/>
        <rFont val="Arial Cyr"/>
        <charset val="204"/>
      </rPr>
      <t>l</t>
    </r>
    <r>
      <rPr>
        <sz val="8"/>
        <rFont val="Arial Cyr"/>
        <charset val="204"/>
      </rPr>
      <t>2</t>
    </r>
  </si>
  <si>
    <r>
      <rPr>
        <sz val="10"/>
        <rFont val="Arial Cyr"/>
        <charset val="204"/>
      </rPr>
      <t>l</t>
    </r>
    <r>
      <rPr>
        <sz val="8"/>
        <rFont val="Arial Cyr"/>
        <charset val="204"/>
      </rPr>
      <t>3</t>
    </r>
  </si>
  <si>
    <r>
      <rPr>
        <sz val="10"/>
        <rFont val="Arial Cyr"/>
        <charset val="204"/>
      </rPr>
      <t>L</t>
    </r>
    <r>
      <rPr>
        <sz val="8"/>
        <rFont val="Arial Cyr"/>
        <charset val="204"/>
      </rPr>
      <t>3</t>
    </r>
    <r>
      <rPr>
        <sz val="10"/>
        <rFont val="Arial Cyr"/>
        <charset val="204"/>
      </rPr>
      <t>(x)</t>
    </r>
  </si>
  <si>
    <t>4. Найти Ln=∑li при i=0..n.</t>
  </si>
  <si>
    <t>5. Присвоить f(x)=Ln(x).</t>
  </si>
  <si>
    <t>Многочлен Лагранжа для равноотстоящих узлов</t>
  </si>
  <si>
    <t>3. Посчитать значение t=(x-x0)/h.</t>
  </si>
  <si>
    <t xml:space="preserve">4. Написать многочлен Лагранжа для </t>
  </si>
  <si>
    <t>равноотстоящих узлов (n=3) по формуле:</t>
  </si>
  <si>
    <t>t</t>
  </si>
  <si>
    <t>H</t>
  </si>
  <si>
    <t>Преобразованная формула общего вида</t>
  </si>
  <si>
    <r>
      <rPr>
        <sz val="10"/>
        <rFont val="Arial Cyr"/>
        <charset val="204"/>
      </rPr>
      <t>L</t>
    </r>
    <r>
      <rPr>
        <sz val="8"/>
        <rFont val="Arial Cyr"/>
        <charset val="204"/>
      </rPr>
      <t>3</t>
    </r>
    <r>
      <rPr>
        <sz val="10"/>
        <rFont val="Arial Cyr"/>
        <charset val="204"/>
      </rPr>
      <t>(x</t>
    </r>
    <r>
      <rPr>
        <sz val="8"/>
        <rFont val="Arial Cyr"/>
        <charset val="204"/>
      </rPr>
      <t>0</t>
    </r>
    <r>
      <rPr>
        <sz val="10"/>
        <rFont val="Arial Cyr"/>
        <charset val="204"/>
      </rPr>
      <t>+ht)=</t>
    </r>
  </si>
  <si>
    <r>
      <rPr>
        <sz val="10"/>
        <rFont val="Arial Cyr"/>
        <charset val="204"/>
      </rPr>
      <t>* t</t>
    </r>
    <r>
      <rPr>
        <sz val="10"/>
        <rFont val="Arial"/>
        <family val="2"/>
        <charset val="204"/>
      </rPr>
      <t xml:space="preserve">³ </t>
    </r>
    <r>
      <rPr>
        <sz val="10"/>
        <rFont val="Arial Cyr"/>
        <charset val="204"/>
      </rPr>
      <t>+</t>
    </r>
  </si>
  <si>
    <t>* t² +</t>
  </si>
  <si>
    <t>* t +</t>
  </si>
  <si>
    <t>=</t>
  </si>
  <si>
    <t>5. Преобразовать его.</t>
  </si>
  <si>
    <t>6. Найти Ln.</t>
  </si>
  <si>
    <t>7. Присвоить f(x)=Ln(x).</t>
  </si>
  <si>
    <t>Метод Ньютона</t>
  </si>
  <si>
    <t>Табличная функция</t>
  </si>
  <si>
    <t>xi</t>
  </si>
  <si>
    <t>yi</t>
  </si>
  <si>
    <t>1. Заполнить столбцы xi и yi.</t>
  </si>
  <si>
    <t>3. Найти решение методом левого Ньютона.</t>
  </si>
  <si>
    <t>3.1. Найти разделённые разности y01, y02, y012,</t>
  </si>
  <si>
    <t>y013 и y0123:</t>
  </si>
  <si>
    <t>A0</t>
  </si>
  <si>
    <t>A1</t>
  </si>
  <si>
    <t>A2</t>
  </si>
  <si>
    <t>A3</t>
  </si>
  <si>
    <r>
      <rPr>
        <sz val="10"/>
        <rFont val="Arial Cyr"/>
        <charset val="204"/>
      </rPr>
      <t>P</t>
    </r>
    <r>
      <rPr>
        <sz val="8"/>
        <rFont val="Arial Cyr"/>
        <charset val="204"/>
      </rPr>
      <t>3</t>
    </r>
    <r>
      <rPr>
        <sz val="10"/>
        <rFont val="Arial Cyr"/>
        <charset val="204"/>
      </rPr>
      <t>(x)</t>
    </r>
  </si>
  <si>
    <t>3.2. Найти коэффициенты Ak=y012…k.</t>
  </si>
  <si>
    <t>3.3. Найти Pn(x)=A0+A1(x-x0)+</t>
  </si>
  <si>
    <t>A2(x-x0)(x-x1)+...+An(x-x0)(x-x1)…(x-xn-1).</t>
  </si>
  <si>
    <t>3.4. Присвоить f(x)=Pn(x).</t>
  </si>
  <si>
    <t>4. Найти решение методом правого Ньютона.</t>
  </si>
  <si>
    <t>4.1. Найти разделённые разности y32, y31,y30,</t>
  </si>
  <si>
    <t>y321, y320 и y3210:</t>
  </si>
  <si>
    <t>4.2. Найти коэффициенты Bk=ynn-1…k.</t>
  </si>
  <si>
    <t>4.3. Найти Pn(x)=Bn+Bn-1(x-xn)+</t>
  </si>
  <si>
    <t>Bn-2(x-xn)(x-xn-1)+…+B0(x-xn)(x-xn-1)…(x-x1).</t>
  </si>
  <si>
    <t>4.4. Присвоить f(x)=Pn(x).</t>
  </si>
  <si>
    <t>B3</t>
  </si>
  <si>
    <t>B2</t>
  </si>
  <si>
    <t>B1</t>
  </si>
  <si>
    <t>B0</t>
  </si>
  <si>
    <t xml:space="preserve">                            Левый</t>
  </si>
  <si>
    <t xml:space="preserve">                            Правый</t>
  </si>
  <si>
    <t>Метод сплайнов</t>
  </si>
  <si>
    <t>3. Найти</t>
  </si>
  <si>
    <t>4. Найти коэффициенты ai для трех</t>
  </si>
  <si>
    <t>ai</t>
  </si>
  <si>
    <t>bi</t>
  </si>
  <si>
    <t>ci</t>
  </si>
  <si>
    <t>di</t>
  </si>
  <si>
    <t>h</t>
  </si>
  <si>
    <r>
      <rPr>
        <sz val="10"/>
        <rFont val="Arial Cyr"/>
        <charset val="204"/>
      </rPr>
      <t>x</t>
    </r>
    <r>
      <rPr>
        <sz val="10"/>
        <rFont val="Symbol"/>
        <family val="1"/>
        <charset val="2"/>
      </rPr>
      <t>Î</t>
    </r>
    <r>
      <rPr>
        <sz val="10"/>
        <rFont val="Arial Cyr"/>
        <charset val="204"/>
      </rPr>
      <t>[x</t>
    </r>
    <r>
      <rPr>
        <sz val="8"/>
        <rFont val="Arial Cyr"/>
        <charset val="204"/>
      </rPr>
      <t>i-1</t>
    </r>
    <r>
      <rPr>
        <sz val="10"/>
        <rFont val="Arial Cyr"/>
        <charset val="204"/>
      </rPr>
      <t>;x</t>
    </r>
    <r>
      <rPr>
        <sz val="8"/>
        <rFont val="Arial Cyr"/>
        <charset val="204"/>
      </rPr>
      <t>i</t>
    </r>
    <r>
      <rPr>
        <sz val="10"/>
        <rFont val="Arial Cyr"/>
        <charset val="204"/>
      </rPr>
      <t>]</t>
    </r>
  </si>
  <si>
    <t>Si(x)</t>
  </si>
  <si>
    <t>сплайнов S1, S2 и S3:</t>
  </si>
  <si>
    <t>5. Решить систему относительно bi, ci, di</t>
  </si>
  <si>
    <t>Коэффициенты при неизвестных</t>
  </si>
  <si>
    <t>b1</t>
  </si>
  <si>
    <t>d1</t>
  </si>
  <si>
    <t>b2</t>
  </si>
  <si>
    <t>c2</t>
  </si>
  <si>
    <t>d2</t>
  </si>
  <si>
    <t>b3</t>
  </si>
  <si>
    <t>c3</t>
  </si>
  <si>
    <t>d3</t>
  </si>
  <si>
    <t>св. пер.</t>
  </si>
  <si>
    <t>Проверка</t>
  </si>
  <si>
    <t>5.1. В таблицу коэффициентов внести</t>
  </si>
  <si>
    <t>значение c1.</t>
  </si>
  <si>
    <t>5.2. Выписать матрицу коэффициентов при</t>
  </si>
  <si>
    <t>неизвестных b1, d1, b2, c2, d2, b3, c3, d3</t>
  </si>
  <si>
    <t>b1=</t>
  </si>
  <si>
    <t>d1=</t>
  </si>
  <si>
    <t>b2=</t>
  </si>
  <si>
    <t>c2=</t>
  </si>
  <si>
    <t>d2=</t>
  </si>
  <si>
    <t>b3=</t>
  </si>
  <si>
    <t>c3=</t>
  </si>
  <si>
    <t>d3=</t>
  </si>
  <si>
    <t>5.3. Решить матрицу методом Гаусса.</t>
  </si>
  <si>
    <t>6. Сделать проверку.</t>
  </si>
  <si>
    <t>7. Найти решение Si(x) для любых</t>
  </si>
  <si>
    <r>
      <rPr>
        <sz val="10"/>
        <rFont val="Arial Cyr"/>
        <charset val="204"/>
      </rPr>
      <t xml:space="preserve">x </t>
    </r>
    <r>
      <rPr>
        <sz val="10"/>
        <rFont val="Symbol"/>
        <family val="1"/>
        <charset val="2"/>
      </rPr>
      <t>Î</t>
    </r>
    <r>
      <rPr>
        <sz val="10"/>
        <rFont val="Arial Cyr"/>
        <charset val="204"/>
      </rPr>
      <t xml:space="preserve"> [x</t>
    </r>
    <r>
      <rPr>
        <sz val="8"/>
        <rFont val="Arial Cyr"/>
        <family val="2"/>
        <charset val="204"/>
      </rPr>
      <t>i-1</t>
    </r>
    <r>
      <rPr>
        <sz val="10"/>
        <rFont val="Arial Cyr"/>
        <charset val="204"/>
      </rPr>
      <t>; x</t>
    </r>
    <r>
      <rPr>
        <sz val="8"/>
        <rFont val="Arial Cyr"/>
        <family val="2"/>
        <charset val="204"/>
      </rPr>
      <t>i</t>
    </r>
    <r>
      <rPr>
        <sz val="10"/>
        <rFont val="Arial Cyr"/>
        <charset val="204"/>
      </rPr>
      <t>] в каждом сплайне, где</t>
    </r>
  </si>
  <si>
    <r>
      <rPr>
        <sz val="10"/>
        <rFont val="Arial Cyr"/>
        <charset val="204"/>
      </rPr>
      <t>Si(x)=ai+bi(x-x</t>
    </r>
    <r>
      <rPr>
        <sz val="8"/>
        <rFont val="Arial Cyr"/>
        <family val="2"/>
        <charset val="204"/>
      </rPr>
      <t>i-1</t>
    </r>
    <r>
      <rPr>
        <sz val="10"/>
        <rFont val="Arial Cyr"/>
        <charset val="204"/>
      </rPr>
      <t>)+ci(x-x</t>
    </r>
    <r>
      <rPr>
        <sz val="8"/>
        <rFont val="Arial Cyr"/>
        <family val="2"/>
        <charset val="204"/>
      </rPr>
      <t>i-1</t>
    </r>
    <r>
      <rPr>
        <sz val="10"/>
        <rFont val="Arial Cyr"/>
        <charset val="204"/>
      </rPr>
      <t>)</t>
    </r>
    <r>
      <rPr>
        <sz val="10"/>
        <rFont val="Arial Cyr"/>
        <family val="2"/>
        <charset val="204"/>
      </rPr>
      <t>²</t>
    </r>
    <r>
      <rPr>
        <sz val="10"/>
        <rFont val="Arial Cyr"/>
        <charset val="204"/>
      </rPr>
      <t>+di(x-x</t>
    </r>
    <r>
      <rPr>
        <sz val="8"/>
        <rFont val="Arial Cyr"/>
        <family val="2"/>
        <charset val="204"/>
      </rPr>
      <t>i-1</t>
    </r>
    <r>
      <rPr>
        <sz val="10"/>
        <rFont val="Arial Cyr"/>
        <charset val="204"/>
      </rPr>
      <t>)</t>
    </r>
    <r>
      <rPr>
        <sz val="10"/>
        <rFont val="Arial Cyr"/>
        <family val="2"/>
        <charset val="204"/>
      </rPr>
      <t>³.</t>
    </r>
  </si>
  <si>
    <t>8. Найти решение в точке 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</si>
</sst>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>
    <font>
      <sz val="10"/>
      <name val="Arial Cyr"/>
      <charset val="204"/>
    </font>
    <font>
      <b/>
      <sz val="11"/>
      <color rgb="FFFFFFFF"/>
      <name val="Arial Cyr"/>
      <family val="2"/>
      <charset val="204"/>
    </font>
    <font>
      <b/>
      <sz val="10"/>
      <name val="Arial Cyr"/>
      <family val="2"/>
      <charset val="204"/>
    </font>
    <font>
      <u/>
      <sz val="10"/>
      <name val="Arial Cyr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sz val="10"/>
      <name val="Symbol"/>
      <family val="1"/>
      <charset val="2"/>
    </font>
    <font>
      <sz val="8"/>
      <name val="Arial Cyr"/>
      <family val="2"/>
      <charset val="204"/>
    </font>
    <font>
      <sz val="10"/>
      <name val="Arial Cyr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" fillId="3" borderId="2" xfId="0" applyFont="1" applyFill="1" applyBorder="1"/>
    <xf numFmtId="0" fontId="0" fillId="0" borderId="0" xfId="0" applyFont="1" applyAlignment="1">
      <alignment horizontal="right"/>
    </xf>
    <xf numFmtId="0" fontId="0" fillId="4" borderId="3" xfId="0" applyFill="1" applyBorder="1"/>
    <xf numFmtId="0" fontId="0" fillId="3" borderId="1" xfId="0" applyFill="1" applyBorder="1"/>
    <xf numFmtId="0" fontId="0" fillId="3" borderId="4" xfId="0" applyFont="1" applyFill="1" applyBorder="1" applyAlignment="1">
      <alignment horizontal="left"/>
    </xf>
    <xf numFmtId="0" fontId="0" fillId="4" borderId="1" xfId="0" applyFill="1" applyBorder="1"/>
    <xf numFmtId="0" fontId="0" fillId="3" borderId="1" xfId="0" applyFont="1" applyFill="1" applyBorder="1" applyAlignment="1">
      <alignment horizontal="right"/>
    </xf>
    <xf numFmtId="0" fontId="0" fillId="0" borderId="0" xfId="0"/>
    <xf numFmtId="0" fontId="0" fillId="3" borderId="4" xfId="0" applyFont="1" applyFill="1" applyBorder="1"/>
    <xf numFmtId="0" fontId="0" fillId="5" borderId="1" xfId="0" applyFont="1" applyFill="1" applyBorder="1"/>
    <xf numFmtId="0" fontId="0" fillId="0" borderId="1" xfId="0" applyBorder="1"/>
    <xf numFmtId="0" fontId="0" fillId="3" borderId="3" xfId="0" applyFont="1" applyFill="1" applyBorder="1" applyAlignment="1">
      <alignment horizontal="left"/>
    </xf>
    <xf numFmtId="0" fontId="0" fillId="0" borderId="0" xfId="0" applyFont="1" applyBorder="1"/>
    <xf numFmtId="0" fontId="0" fillId="0" borderId="0" xfId="0" applyFont="1"/>
    <xf numFmtId="0" fontId="0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6" borderId="2" xfId="0" applyFill="1" applyBorder="1"/>
    <xf numFmtId="0" fontId="0" fillId="6" borderId="4" xfId="0" applyFill="1" applyBorder="1"/>
    <xf numFmtId="0" fontId="0" fillId="6" borderId="3" xfId="0" applyFill="1" applyBorder="1"/>
    <xf numFmtId="0" fontId="0" fillId="5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0" fontId="0" fillId="4" borderId="2" xfId="0" applyFill="1" applyBorder="1"/>
    <xf numFmtId="0" fontId="0" fillId="3" borderId="3" xfId="0" applyFont="1" applyFill="1" applyBorder="1"/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Alignment="1">
      <alignment horizontal="right"/>
    </xf>
    <xf numFmtId="164" fontId="0" fillId="5" borderId="1" xfId="0" applyNumberFormat="1" applyFont="1" applyFill="1" applyBorder="1"/>
    <xf numFmtId="0" fontId="0" fillId="0" borderId="1" xfId="0" applyBorder="1" applyAlignment="1"/>
    <xf numFmtId="0" fontId="0" fillId="0" borderId="1" xfId="0" applyBorder="1" applyAlignment="1">
      <alignment horizontal="right"/>
    </xf>
    <xf numFmtId="0" fontId="0" fillId="0" borderId="0" xfId="0" applyFont="1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7" xfId="0" applyBorder="1"/>
    <xf numFmtId="0" fontId="0" fillId="0" borderId="4" xfId="0" applyBorder="1"/>
    <xf numFmtId="0" fontId="0" fillId="0" borderId="10" xfId="0" applyFon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9" xfId="0" applyBorder="1"/>
    <xf numFmtId="164" fontId="0" fillId="3" borderId="4" xfId="0" applyNumberFormat="1" applyFont="1" applyFill="1" applyBorder="1"/>
  </cellXfs>
  <cellStyles count="1">
    <cellStyle name="Обычный" xfId="0" builtinId="0"/>
  </cellStyles>
  <dxfs count="2"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png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w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wmf"/><Relationship Id="rId2" Type="http://schemas.openxmlformats.org/officeDocument/2006/relationships/image" Target="../media/image10.wmf"/><Relationship Id="rId1" Type="http://schemas.openxmlformats.org/officeDocument/2006/relationships/image" Target="../media/image1.png"/><Relationship Id="rId5" Type="http://schemas.openxmlformats.org/officeDocument/2006/relationships/image" Target="../media/image13.wmf"/><Relationship Id="rId4" Type="http://schemas.openxmlformats.org/officeDocument/2006/relationships/image" Target="../media/image1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638280</xdr:colOff>
      <xdr:row>31</xdr:row>
      <xdr:rowOff>66600</xdr:rowOff>
    </xdr:from>
    <xdr:to>
      <xdr:col>11</xdr:col>
      <xdr:colOff>2009520</xdr:colOff>
      <xdr:row>33</xdr:row>
      <xdr:rowOff>104400</xdr:rowOff>
    </xdr:to>
    <xdr:pic>
      <xdr:nvPicPr>
        <xdr:cNvPr id="2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54320" y="5114520"/>
          <a:ext cx="1371240" cy="3618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11</xdr:col>
      <xdr:colOff>0</xdr:colOff>
      <xdr:row>5</xdr:row>
      <xdr:rowOff>76320</xdr:rowOff>
    </xdr:from>
    <xdr:to>
      <xdr:col>12</xdr:col>
      <xdr:colOff>15120</xdr:colOff>
      <xdr:row>8</xdr:row>
      <xdr:rowOff>23040</xdr:rowOff>
    </xdr:to>
    <xdr:pic>
      <xdr:nvPicPr>
        <xdr:cNvPr id="3" name="Picture 6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016040" y="914400"/>
          <a:ext cx="2928240" cy="43236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11</xdr:col>
      <xdr:colOff>160200</xdr:colOff>
      <xdr:row>19</xdr:row>
      <xdr:rowOff>7560</xdr:rowOff>
    </xdr:from>
    <xdr:to>
      <xdr:col>11</xdr:col>
      <xdr:colOff>1897560</xdr:colOff>
      <xdr:row>21</xdr:row>
      <xdr:rowOff>106560</xdr:rowOff>
    </xdr:to>
    <xdr:pic>
      <xdr:nvPicPr>
        <xdr:cNvPr id="4" name="Picture 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7176240" y="3112560"/>
          <a:ext cx="1737360" cy="4230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11</xdr:col>
      <xdr:colOff>30600</xdr:colOff>
      <xdr:row>21</xdr:row>
      <xdr:rowOff>91440</xdr:rowOff>
    </xdr:from>
    <xdr:to>
      <xdr:col>11</xdr:col>
      <xdr:colOff>2179800</xdr:colOff>
      <xdr:row>24</xdr:row>
      <xdr:rowOff>22680</xdr:rowOff>
    </xdr:to>
    <xdr:pic>
      <xdr:nvPicPr>
        <xdr:cNvPr id="5" name="Picture 6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7046640" y="3520440"/>
          <a:ext cx="2149200" cy="41688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11</xdr:col>
      <xdr:colOff>160200</xdr:colOff>
      <xdr:row>24</xdr:row>
      <xdr:rowOff>7560</xdr:rowOff>
    </xdr:from>
    <xdr:to>
      <xdr:col>11</xdr:col>
      <xdr:colOff>2012040</xdr:colOff>
      <xdr:row>26</xdr:row>
      <xdr:rowOff>53280</xdr:rowOff>
    </xdr:to>
    <xdr:pic>
      <xdr:nvPicPr>
        <xdr:cNvPr id="6" name="Picture 6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7176240" y="3922200"/>
          <a:ext cx="1851840" cy="36936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590400</xdr:colOff>
      <xdr:row>26</xdr:row>
      <xdr:rowOff>57240</xdr:rowOff>
    </xdr:from>
    <xdr:to>
      <xdr:col>10</xdr:col>
      <xdr:colOff>2237760</xdr:colOff>
      <xdr:row>31</xdr:row>
      <xdr:rowOff>133200</xdr:rowOff>
    </xdr:to>
    <xdr:pic>
      <xdr:nvPicPr>
        <xdr:cNvPr id="5" name="Picture 4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719400" y="4295520"/>
          <a:ext cx="1647360" cy="8856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581040</xdr:colOff>
      <xdr:row>33</xdr:row>
      <xdr:rowOff>57240</xdr:rowOff>
    </xdr:from>
    <xdr:to>
      <xdr:col>10</xdr:col>
      <xdr:colOff>2209320</xdr:colOff>
      <xdr:row>38</xdr:row>
      <xdr:rowOff>133200</xdr:rowOff>
    </xdr:to>
    <xdr:pic>
      <xdr:nvPicPr>
        <xdr:cNvPr id="6" name="Picture 4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710040" y="5429160"/>
          <a:ext cx="1628280" cy="8856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10</xdr:col>
      <xdr:colOff>251640</xdr:colOff>
      <xdr:row>7</xdr:row>
      <xdr:rowOff>60840</xdr:rowOff>
    </xdr:from>
    <xdr:to>
      <xdr:col>10</xdr:col>
      <xdr:colOff>1943280</xdr:colOff>
      <xdr:row>10</xdr:row>
      <xdr:rowOff>22680</xdr:rowOff>
    </xdr:to>
    <xdr:pic>
      <xdr:nvPicPr>
        <xdr:cNvPr id="7" name="Pictur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380640" y="1222560"/>
          <a:ext cx="1691640" cy="44784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10</xdr:col>
      <xdr:colOff>297360</xdr:colOff>
      <xdr:row>16</xdr:row>
      <xdr:rowOff>60840</xdr:rowOff>
    </xdr:from>
    <xdr:to>
      <xdr:col>10</xdr:col>
      <xdr:colOff>2095920</xdr:colOff>
      <xdr:row>19</xdr:row>
      <xdr:rowOff>15120</xdr:rowOff>
    </xdr:to>
    <xdr:pic>
      <xdr:nvPicPr>
        <xdr:cNvPr id="8" name="Picture 2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6426360" y="2680200"/>
          <a:ext cx="1798560" cy="4399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638280</xdr:colOff>
      <xdr:row>40</xdr:row>
      <xdr:rowOff>66600</xdr:rowOff>
    </xdr:from>
    <xdr:to>
      <xdr:col>13</xdr:col>
      <xdr:colOff>2009520</xdr:colOff>
      <xdr:row>42</xdr:row>
      <xdr:rowOff>104400</xdr:rowOff>
    </xdr:to>
    <xdr:pic>
      <xdr:nvPicPr>
        <xdr:cNvPr id="9" name="Picture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65920" y="6572160"/>
          <a:ext cx="1371240" cy="3614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13</xdr:col>
      <xdr:colOff>1112760</xdr:colOff>
      <xdr:row>6</xdr:row>
      <xdr:rowOff>99000</xdr:rowOff>
    </xdr:from>
    <xdr:to>
      <xdr:col>13</xdr:col>
      <xdr:colOff>1547280</xdr:colOff>
      <xdr:row>8</xdr:row>
      <xdr:rowOff>22680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140400" y="1099080"/>
          <a:ext cx="434520" cy="247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13</xdr:col>
      <xdr:colOff>457200</xdr:colOff>
      <xdr:row>4</xdr:row>
      <xdr:rowOff>99000</xdr:rowOff>
    </xdr:from>
    <xdr:to>
      <xdr:col>13</xdr:col>
      <xdr:colOff>1104840</xdr:colOff>
      <xdr:row>6</xdr:row>
      <xdr:rowOff>15120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484840" y="775080"/>
          <a:ext cx="647640" cy="2401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13</xdr:col>
      <xdr:colOff>274320</xdr:colOff>
      <xdr:row>8</xdr:row>
      <xdr:rowOff>91440</xdr:rowOff>
    </xdr:from>
    <xdr:to>
      <xdr:col>13</xdr:col>
      <xdr:colOff>1767960</xdr:colOff>
      <xdr:row>16</xdr:row>
      <xdr:rowOff>53280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8301960" y="1415160"/>
          <a:ext cx="1493640" cy="125748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13</xdr:col>
      <xdr:colOff>251640</xdr:colOff>
      <xdr:row>19</xdr:row>
      <xdr:rowOff>106560</xdr:rowOff>
    </xdr:from>
    <xdr:to>
      <xdr:col>13</xdr:col>
      <xdr:colOff>1752840</xdr:colOff>
      <xdr:row>31</xdr:row>
      <xdr:rowOff>114120</xdr:rowOff>
    </xdr:to>
    <xdr:pic>
      <xdr:nvPicPr>
        <xdr:cNvPr id="13" name="Picture 9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8279280" y="3211560"/>
          <a:ext cx="1501200" cy="195048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zoomScaleNormal="100" workbookViewId="0">
      <selection activeCell="V8" sqref="V8"/>
    </sheetView>
  </sheetViews>
  <sheetFormatPr defaultColWidth="8.5703125" defaultRowHeight="12.75"/>
  <cols>
    <col min="7" max="8" width="11.28515625" customWidth="1"/>
    <col min="12" max="12" width="41.28515625" customWidth="1"/>
  </cols>
  <sheetData>
    <row r="1" spans="1:16" ht="15">
      <c r="A1" s="14"/>
      <c r="B1" s="3" t="s">
        <v>0</v>
      </c>
      <c r="C1" s="3"/>
      <c r="D1" s="3"/>
      <c r="E1" s="3"/>
      <c r="F1" s="14"/>
      <c r="G1" s="14"/>
      <c r="H1" s="14"/>
      <c r="I1" s="14"/>
      <c r="J1" s="14"/>
      <c r="K1" s="14"/>
      <c r="L1" s="4"/>
      <c r="M1" s="14"/>
      <c r="N1" s="14"/>
      <c r="O1" s="14"/>
      <c r="P1" s="14"/>
    </row>
    <row r="3" spans="1:16">
      <c r="A3" s="5"/>
      <c r="B3" s="2" t="s">
        <v>1</v>
      </c>
      <c r="C3" s="2"/>
      <c r="D3" s="2"/>
      <c r="E3" s="2"/>
      <c r="F3" s="14"/>
      <c r="G3" s="2" t="s">
        <v>2</v>
      </c>
      <c r="H3" s="2"/>
      <c r="I3" s="6"/>
      <c r="J3" s="6"/>
      <c r="K3" s="14"/>
      <c r="L3" s="7" t="s">
        <v>3</v>
      </c>
      <c r="M3" s="14"/>
      <c r="N3" s="14"/>
      <c r="O3" s="14"/>
      <c r="P3" s="14"/>
    </row>
    <row r="4" spans="1:16">
      <c r="A4" s="8" t="s">
        <v>4</v>
      </c>
      <c r="B4" s="9">
        <v>4</v>
      </c>
      <c r="C4" s="9">
        <v>6</v>
      </c>
      <c r="D4" s="9">
        <v>7</v>
      </c>
      <c r="E4" s="9">
        <v>9</v>
      </c>
      <c r="F4" s="14"/>
      <c r="G4" s="13" t="s">
        <v>5</v>
      </c>
      <c r="H4" s="10">
        <v>5.23</v>
      </c>
      <c r="I4" s="27"/>
      <c r="J4" s="27"/>
      <c r="K4" s="14"/>
      <c r="L4" s="11" t="s">
        <v>6</v>
      </c>
      <c r="M4" s="14"/>
      <c r="N4" s="27"/>
      <c r="O4" s="27"/>
      <c r="P4" s="27"/>
    </row>
    <row r="5" spans="1:16">
      <c r="A5" s="8" t="s">
        <v>7</v>
      </c>
      <c r="B5" s="12">
        <v>1.04</v>
      </c>
      <c r="C5" s="12">
        <v>1.34</v>
      </c>
      <c r="D5" s="12">
        <v>1.46</v>
      </c>
      <c r="E5" s="12">
        <v>2.2999999999999998</v>
      </c>
      <c r="F5" s="14"/>
      <c r="G5" s="13" t="s">
        <v>8</v>
      </c>
      <c r="H5" s="13">
        <f>G9</f>
        <v>1.2708510740000003</v>
      </c>
      <c r="I5" s="22"/>
      <c r="J5" s="22"/>
      <c r="K5" s="14"/>
      <c r="L5" s="11" t="s">
        <v>9</v>
      </c>
      <c r="M5" s="14"/>
      <c r="N5" s="27"/>
      <c r="O5" s="27"/>
      <c r="P5" s="27"/>
    </row>
    <row r="6" spans="1:16">
      <c r="A6" s="14"/>
      <c r="B6" s="27"/>
      <c r="C6" s="27"/>
      <c r="D6" s="27"/>
      <c r="E6" s="27"/>
      <c r="F6" s="14"/>
      <c r="G6" s="14"/>
      <c r="H6" s="14"/>
      <c r="I6" s="14"/>
      <c r="J6" s="14"/>
      <c r="K6" s="14"/>
      <c r="L6" s="15" t="s">
        <v>10</v>
      </c>
      <c r="M6" s="14"/>
      <c r="N6" s="27"/>
      <c r="O6" s="27"/>
      <c r="P6" s="27"/>
    </row>
    <row r="7" spans="1:16">
      <c r="A7" s="14"/>
      <c r="B7" s="14"/>
      <c r="C7" s="14"/>
      <c r="D7" s="14"/>
      <c r="E7" s="27"/>
      <c r="F7" s="14"/>
      <c r="G7" s="14"/>
      <c r="H7" s="14"/>
      <c r="I7" s="14"/>
      <c r="J7" s="14"/>
      <c r="K7" s="14"/>
      <c r="L7" s="15"/>
      <c r="M7" s="14"/>
      <c r="N7" s="27"/>
      <c r="O7" s="27"/>
      <c r="P7" s="27"/>
    </row>
    <row r="8" spans="1:16">
      <c r="A8" s="14"/>
      <c r="B8" s="16" t="s">
        <v>11</v>
      </c>
      <c r="C8" s="16" t="s">
        <v>12</v>
      </c>
      <c r="D8" s="16" t="s">
        <v>13</v>
      </c>
      <c r="E8" s="16" t="s">
        <v>14</v>
      </c>
      <c r="F8" s="14"/>
      <c r="G8" s="16" t="s">
        <v>15</v>
      </c>
      <c r="H8" s="14"/>
      <c r="I8" s="14"/>
      <c r="J8" s="14"/>
      <c r="K8" s="14"/>
      <c r="L8" s="15"/>
      <c r="M8" s="14"/>
      <c r="N8" s="14"/>
      <c r="O8" s="14"/>
      <c r="P8" s="14"/>
    </row>
    <row r="9" spans="1:16">
      <c r="A9" s="14"/>
      <c r="B9" s="17">
        <f>B5*(((H4-C4)*(H4-D4)*(H4-E4))/((B4-C4)*(B4-D4)*(B4-E4)))</f>
        <v>0.17812194399999984</v>
      </c>
      <c r="C9" s="17">
        <f>C5*(((H4-B4)*(H4-D4)*(H4-E4))/((C4-D4)*(C4-E4)*(C4-B4)))</f>
        <v>1.8330456300000002</v>
      </c>
      <c r="D9" s="17">
        <f>D5*(((H4-E4)*(H4-B4)*(H4-C4))/((D4-E4)*(D4-B4)*(D4-C4)))</f>
        <v>-0.86883796999999963</v>
      </c>
      <c r="E9" s="17">
        <f>E5*(((H4-B4)*(H4-C4)*(H4-D4))/((E4-B4)*(E4-C4)*(E4-D4)))</f>
        <v>0.12852146999999994</v>
      </c>
      <c r="F9" s="14"/>
      <c r="G9" s="17">
        <f>SUM(B9:E9)</f>
        <v>1.2708510740000003</v>
      </c>
      <c r="H9" s="14"/>
      <c r="I9" s="14"/>
      <c r="J9" s="14"/>
      <c r="K9" s="14"/>
      <c r="L9" s="15"/>
      <c r="M9" s="14"/>
      <c r="N9" s="14"/>
      <c r="O9" s="14"/>
      <c r="P9" s="14"/>
    </row>
    <row r="10" spans="1:16">
      <c r="A10" s="14"/>
      <c r="B10" s="27"/>
      <c r="C10" s="27"/>
      <c r="D10" s="27"/>
      <c r="E10" s="27"/>
      <c r="F10" s="14"/>
      <c r="G10" s="14"/>
      <c r="H10" s="14"/>
      <c r="I10" s="14"/>
      <c r="J10" s="14"/>
      <c r="K10" s="14"/>
      <c r="L10" s="11" t="s">
        <v>16</v>
      </c>
      <c r="M10" s="14"/>
      <c r="N10" s="14"/>
      <c r="O10" s="14"/>
      <c r="P10" s="14"/>
    </row>
    <row r="11" spans="1:16">
      <c r="A11" s="27"/>
      <c r="B11" s="27"/>
      <c r="C11" s="27"/>
      <c r="D11" s="27"/>
      <c r="E11" s="27"/>
      <c r="F11" s="14"/>
      <c r="G11" s="14"/>
      <c r="H11" s="14"/>
      <c r="I11" s="14"/>
      <c r="J11" s="14"/>
      <c r="K11" s="14"/>
      <c r="L11" s="18" t="s">
        <v>17</v>
      </c>
      <c r="M11" s="14"/>
      <c r="N11" s="14"/>
      <c r="O11" s="14"/>
      <c r="P11" s="14"/>
    </row>
    <row r="12" spans="1:16">
      <c r="A12" s="27"/>
      <c r="B12" s="27"/>
      <c r="C12" s="27"/>
      <c r="D12" s="27"/>
      <c r="E12" s="27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9"/>
      <c r="L13" s="14"/>
      <c r="M13" s="14"/>
      <c r="N13" s="14"/>
      <c r="O13" s="14"/>
      <c r="P13" s="14"/>
    </row>
    <row r="14" spans="1:16">
      <c r="A14" s="27"/>
      <c r="B14" s="20" t="s">
        <v>18</v>
      </c>
      <c r="C14" s="14"/>
      <c r="D14" s="14"/>
      <c r="E14" s="14"/>
      <c r="F14" s="14"/>
      <c r="G14" s="14"/>
      <c r="H14" s="14"/>
      <c r="I14" s="14"/>
      <c r="J14" s="14"/>
      <c r="K14" s="19"/>
      <c r="L14" s="7" t="s">
        <v>3</v>
      </c>
      <c r="M14" s="14"/>
      <c r="N14" s="14"/>
      <c r="O14" s="14"/>
      <c r="P14" s="14"/>
    </row>
    <row r="15" spans="1:16">
      <c r="A15" s="27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1" t="s">
        <v>6</v>
      </c>
      <c r="M15" s="14"/>
      <c r="N15" s="14"/>
      <c r="O15" s="14"/>
      <c r="P15" s="14"/>
    </row>
    <row r="16" spans="1:16">
      <c r="A16" s="27"/>
      <c r="B16" s="2" t="s">
        <v>1</v>
      </c>
      <c r="C16" s="2"/>
      <c r="D16" s="2"/>
      <c r="E16" s="2"/>
      <c r="F16" s="14"/>
      <c r="G16" s="21" t="s">
        <v>2</v>
      </c>
      <c r="H16" s="26"/>
      <c r="I16" s="14"/>
      <c r="J16" s="14"/>
      <c r="K16" s="14"/>
      <c r="L16" s="11" t="s">
        <v>9</v>
      </c>
      <c r="M16" s="14"/>
      <c r="N16" s="14"/>
      <c r="O16" s="14"/>
      <c r="P16" s="14"/>
    </row>
    <row r="17" spans="1:12">
      <c r="A17" s="22" t="s">
        <v>4</v>
      </c>
      <c r="B17" s="9">
        <v>4</v>
      </c>
      <c r="C17" s="9">
        <v>5.6666666666666696</v>
      </c>
      <c r="D17" s="9">
        <v>7.3333333333333304</v>
      </c>
      <c r="E17" s="9">
        <v>9</v>
      </c>
      <c r="F17" s="14"/>
      <c r="G17" s="13" t="s">
        <v>5</v>
      </c>
      <c r="H17" s="10">
        <v>5.23</v>
      </c>
      <c r="I17" s="14"/>
      <c r="J17" s="14"/>
      <c r="K17" s="14"/>
      <c r="L17" s="15" t="s">
        <v>19</v>
      </c>
    </row>
    <row r="18" spans="1:12">
      <c r="A18" s="22" t="s">
        <v>7</v>
      </c>
      <c r="B18" s="12">
        <v>1.04</v>
      </c>
      <c r="C18" s="12">
        <v>1.34</v>
      </c>
      <c r="D18" s="12">
        <v>1.46</v>
      </c>
      <c r="E18" s="12">
        <v>2.2999999999999998</v>
      </c>
      <c r="F18" s="14"/>
      <c r="G18" s="13" t="s">
        <v>8</v>
      </c>
      <c r="H18" s="13">
        <f>J25</f>
        <v>1.3154043307999999</v>
      </c>
      <c r="I18" s="14"/>
      <c r="J18" s="14"/>
      <c r="K18" s="14"/>
      <c r="L18" s="15" t="s">
        <v>20</v>
      </c>
    </row>
    <row r="19" spans="1:12">
      <c r="A19" s="27"/>
      <c r="B19" s="27"/>
      <c r="C19" s="27"/>
      <c r="D19" s="27"/>
      <c r="E19" s="27"/>
      <c r="F19" s="14"/>
      <c r="G19" s="14"/>
      <c r="H19" s="14"/>
      <c r="I19" s="14"/>
      <c r="J19" s="14"/>
      <c r="K19" s="14"/>
      <c r="L19" s="15" t="s">
        <v>21</v>
      </c>
    </row>
    <row r="20" spans="1:12">
      <c r="A20" s="27"/>
      <c r="B20" s="16" t="s">
        <v>22</v>
      </c>
      <c r="C20" s="27"/>
      <c r="D20" s="27" t="s">
        <v>23</v>
      </c>
      <c r="E20" s="27"/>
      <c r="F20" s="14"/>
      <c r="G20" s="14"/>
      <c r="H20" s="14"/>
      <c r="I20" s="14"/>
      <c r="J20" s="14"/>
      <c r="K20" s="14"/>
      <c r="L20" s="15"/>
    </row>
    <row r="21" spans="1:12">
      <c r="A21" s="27"/>
      <c r="B21" s="49">
        <f>(H17-B17)/D21</f>
        <v>0.73800000000000021</v>
      </c>
      <c r="C21" s="27"/>
      <c r="D21" s="27">
        <f>(E17-B17)/3</f>
        <v>1.6666666666666667</v>
      </c>
      <c r="E21" s="27"/>
      <c r="F21" s="14"/>
      <c r="G21" s="14"/>
      <c r="H21" s="14"/>
      <c r="I21" s="14"/>
      <c r="J21" s="14"/>
      <c r="K21" s="14"/>
      <c r="L21" s="15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>
      <c r="A23" s="14"/>
      <c r="B23" s="14" t="s">
        <v>24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6" t="s">
        <v>15</v>
      </c>
      <c r="K24" s="14"/>
      <c r="L24" s="15"/>
    </row>
    <row r="25" spans="1:12">
      <c r="A25" s="14" t="s">
        <v>25</v>
      </c>
      <c r="B25" s="23">
        <f>B18/(-6)+C18/2+D18/(-2)+E18/6</f>
        <v>0.15000000000000002</v>
      </c>
      <c r="C25" s="24" t="s">
        <v>26</v>
      </c>
      <c r="D25" s="25">
        <f>B18+C18*5/(-2)+2*D18+E18/(-2)</f>
        <v>-0.54</v>
      </c>
      <c r="E25" s="24" t="s">
        <v>27</v>
      </c>
      <c r="F25" s="25">
        <f>11*B18/(-6)+3*C18+3*D18/(-2)+E18/3</f>
        <v>0.69</v>
      </c>
      <c r="G25" s="24" t="s">
        <v>28</v>
      </c>
      <c r="H25" s="26">
        <f>B18</f>
        <v>1.04</v>
      </c>
      <c r="I25" s="42" t="s">
        <v>29</v>
      </c>
      <c r="J25" s="17">
        <f>B25*B21*B21*B21+D25*B21*B21+F25*B21+H25</f>
        <v>1.3154043307999999</v>
      </c>
      <c r="K25" s="14"/>
      <c r="L25" s="15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>
      <c r="A27" s="27"/>
      <c r="B27" s="27"/>
      <c r="C27" s="27"/>
      <c r="D27" s="27"/>
      <c r="E27" s="27"/>
      <c r="F27" s="14"/>
      <c r="G27" s="28"/>
      <c r="H27" s="27"/>
      <c r="I27" s="27"/>
      <c r="J27" s="27"/>
      <c r="K27" s="14"/>
      <c r="L27" s="15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5" t="s">
        <v>30</v>
      </c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5" t="s">
        <v>31</v>
      </c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8" t="s">
        <v>32</v>
      </c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9"/>
    </row>
    <row r="33" spans="12:12">
      <c r="L33" s="30"/>
    </row>
    <row r="34" spans="12:12">
      <c r="L34" s="31"/>
    </row>
  </sheetData>
  <mergeCells count="4">
    <mergeCell ref="B1:E1"/>
    <mergeCell ref="B3:E3"/>
    <mergeCell ref="G3:H3"/>
    <mergeCell ref="B16:E16"/>
  </mergeCells>
  <conditionalFormatting sqref="B25 D25 F25 H25">
    <cfRule type="cellIs" dxfId="1" priority="2" operator="equal">
      <formula>0</formula>
    </cfRule>
    <cfRule type="cellIs" dxfId="0" priority="3" operator="notEqual">
      <formula>0</formula>
    </cfRule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zoomScaleNormal="100" workbookViewId="0">
      <selection activeCell="E7" sqref="E7"/>
    </sheetView>
  </sheetViews>
  <sheetFormatPr defaultColWidth="8.5703125" defaultRowHeight="12.75"/>
  <cols>
    <col min="5" max="5" width="10" customWidth="1"/>
    <col min="11" max="11" width="43.7109375" customWidth="1"/>
  </cols>
  <sheetData>
    <row r="1" spans="1:18" ht="15">
      <c r="A1" s="14"/>
      <c r="B1" s="3" t="s">
        <v>33</v>
      </c>
      <c r="C1" s="3"/>
      <c r="D1" s="3"/>
      <c r="E1" s="3"/>
      <c r="F1" s="14"/>
      <c r="G1" s="14"/>
      <c r="H1" s="14"/>
      <c r="I1" s="14"/>
      <c r="J1" s="14"/>
      <c r="K1" s="4"/>
      <c r="L1" s="14"/>
      <c r="M1" s="14"/>
      <c r="N1" s="14"/>
      <c r="O1" s="14"/>
      <c r="P1" s="14"/>
      <c r="Q1" s="14"/>
      <c r="R1" s="14"/>
    </row>
    <row r="3" spans="1:18">
      <c r="A3" s="14"/>
      <c r="B3" s="2" t="s">
        <v>34</v>
      </c>
      <c r="C3" s="2"/>
      <c r="D3" s="5"/>
      <c r="E3" s="14"/>
      <c r="F3" s="14"/>
      <c r="G3" s="14"/>
      <c r="H3" s="14"/>
      <c r="I3" s="14"/>
      <c r="J3" s="14"/>
      <c r="K3" s="7" t="s">
        <v>3</v>
      </c>
      <c r="L3" s="14"/>
      <c r="M3" s="14"/>
      <c r="N3" s="14"/>
      <c r="O3" s="14"/>
      <c r="P3" s="14"/>
      <c r="Q3" s="14"/>
      <c r="R3" s="14"/>
    </row>
    <row r="4" spans="1:18">
      <c r="A4" s="14"/>
      <c r="B4" s="32" t="s">
        <v>35</v>
      </c>
      <c r="C4" s="32" t="s">
        <v>36</v>
      </c>
      <c r="D4" s="32">
        <v>1</v>
      </c>
      <c r="E4" s="32">
        <v>2</v>
      </c>
      <c r="F4" s="32">
        <v>3</v>
      </c>
      <c r="G4" s="14"/>
      <c r="H4" s="2" t="s">
        <v>2</v>
      </c>
      <c r="I4" s="2"/>
      <c r="J4" s="14"/>
      <c r="K4" s="11" t="s">
        <v>37</v>
      </c>
      <c r="L4" s="14"/>
      <c r="M4" s="14"/>
      <c r="N4" s="14"/>
      <c r="O4" s="14"/>
      <c r="P4" s="14"/>
      <c r="Q4" s="14"/>
      <c r="R4" s="14"/>
    </row>
    <row r="5" spans="1:18">
      <c r="A5" s="14">
        <v>0</v>
      </c>
      <c r="B5" s="33">
        <v>4</v>
      </c>
      <c r="C5" s="12">
        <v>1.04</v>
      </c>
      <c r="D5" s="27"/>
      <c r="E5" s="27"/>
      <c r="F5" s="27"/>
      <c r="G5" s="27"/>
      <c r="H5" s="13" t="s">
        <v>5</v>
      </c>
      <c r="I5" s="10">
        <v>5.23</v>
      </c>
      <c r="J5" s="14"/>
      <c r="K5" s="11" t="s">
        <v>9</v>
      </c>
      <c r="L5" s="14"/>
      <c r="M5" s="14"/>
      <c r="N5" s="14"/>
      <c r="O5" s="14"/>
      <c r="P5" s="14"/>
      <c r="Q5" s="14"/>
      <c r="R5" s="14"/>
    </row>
    <row r="6" spans="1:18">
      <c r="A6" s="14">
        <v>1</v>
      </c>
      <c r="B6" s="12">
        <v>6</v>
      </c>
      <c r="C6" s="12">
        <v>1.34</v>
      </c>
      <c r="D6" s="17">
        <f>($C6-$C$5)/($B6-$B$5)</f>
        <v>0.15000000000000002</v>
      </c>
      <c r="E6" s="27"/>
      <c r="F6" s="27"/>
      <c r="G6" s="27"/>
      <c r="H6" s="13" t="s">
        <v>8</v>
      </c>
      <c r="I6" s="13">
        <f>G11</f>
        <v>1.2708510740000001</v>
      </c>
      <c r="J6" s="14"/>
      <c r="K6" s="15" t="s">
        <v>38</v>
      </c>
      <c r="L6" s="14"/>
      <c r="M6" s="14"/>
      <c r="N6" s="14"/>
      <c r="O6" s="14"/>
      <c r="P6" s="14"/>
      <c r="Q6" s="14"/>
      <c r="R6" s="14"/>
    </row>
    <row r="7" spans="1:18">
      <c r="A7" s="14">
        <v>2</v>
      </c>
      <c r="B7" s="34">
        <v>7</v>
      </c>
      <c r="C7" s="34">
        <v>1.46</v>
      </c>
      <c r="D7" s="17">
        <f>($C7-$C$5)/($B7-$B$5)</f>
        <v>0.13999999999999999</v>
      </c>
      <c r="E7" s="17">
        <f>(D7-D6)/(B7-B6)</f>
        <v>-1.0000000000000037E-2</v>
      </c>
      <c r="F7" s="27"/>
      <c r="G7" s="27"/>
      <c r="H7" s="14"/>
      <c r="I7" s="14"/>
      <c r="J7" s="14"/>
      <c r="K7" s="15" t="s">
        <v>39</v>
      </c>
      <c r="L7" s="14"/>
      <c r="M7" s="14"/>
      <c r="N7" s="14"/>
      <c r="O7" s="14"/>
      <c r="P7" s="14"/>
      <c r="Q7" s="14"/>
      <c r="R7" s="14"/>
    </row>
    <row r="8" spans="1:18">
      <c r="A8" s="14">
        <v>3</v>
      </c>
      <c r="B8" s="12">
        <v>9</v>
      </c>
      <c r="C8" s="12">
        <v>2.2999999999999998</v>
      </c>
      <c r="D8" s="17">
        <f>($C8-$C$5)/($B8-$B$5)</f>
        <v>0.25199999999999995</v>
      </c>
      <c r="E8" s="17">
        <f>(D8-D6)/(B8-B6)</f>
        <v>3.3999999999999975E-2</v>
      </c>
      <c r="F8" s="17">
        <f>(E8-E7)/(B8-B7)</f>
        <v>2.2000000000000006E-2</v>
      </c>
      <c r="G8" s="27"/>
      <c r="H8" s="27"/>
      <c r="I8" s="14"/>
      <c r="J8" s="14"/>
      <c r="K8" s="15" t="s">
        <v>40</v>
      </c>
      <c r="L8" s="14"/>
      <c r="M8" s="14"/>
      <c r="N8" s="14"/>
      <c r="O8" s="14"/>
      <c r="P8" s="14"/>
      <c r="Q8" s="14"/>
      <c r="R8" s="14"/>
    </row>
    <row r="9" spans="1:18">
      <c r="A9" s="14"/>
      <c r="B9" s="14"/>
      <c r="C9" s="14"/>
      <c r="D9" s="14"/>
      <c r="E9" s="14"/>
      <c r="F9" s="14"/>
      <c r="G9" s="27"/>
      <c r="H9" s="27"/>
      <c r="I9" s="14"/>
      <c r="J9" s="14"/>
      <c r="K9" s="15"/>
      <c r="L9" s="14"/>
      <c r="M9" s="14"/>
      <c r="N9" s="14"/>
      <c r="O9" s="14"/>
      <c r="P9" s="14"/>
      <c r="Q9" s="14"/>
      <c r="R9" s="14"/>
    </row>
    <row r="10" spans="1:18">
      <c r="A10" s="14"/>
      <c r="B10" s="16" t="s">
        <v>41</v>
      </c>
      <c r="C10" s="16" t="s">
        <v>42</v>
      </c>
      <c r="D10" s="16" t="s">
        <v>43</v>
      </c>
      <c r="E10" s="16" t="s">
        <v>44</v>
      </c>
      <c r="F10" s="14"/>
      <c r="G10" s="16" t="s">
        <v>45</v>
      </c>
      <c r="H10" s="14"/>
      <c r="I10" s="14"/>
      <c r="J10" s="14"/>
      <c r="K10" s="15"/>
      <c r="L10" s="14"/>
      <c r="M10" s="14"/>
      <c r="N10" s="14"/>
      <c r="O10" s="14"/>
      <c r="P10" s="14"/>
      <c r="Q10" s="14"/>
      <c r="R10" s="14"/>
    </row>
    <row r="11" spans="1:18">
      <c r="A11" s="27"/>
      <c r="B11" s="17">
        <f>C5</f>
        <v>1.04</v>
      </c>
      <c r="C11" s="17">
        <f>D6</f>
        <v>0.15000000000000002</v>
      </c>
      <c r="D11" s="17">
        <f>E7</f>
        <v>-1.0000000000000037E-2</v>
      </c>
      <c r="E11" s="17">
        <f>F8</f>
        <v>2.2000000000000006E-2</v>
      </c>
      <c r="F11" s="14"/>
      <c r="G11" s="17">
        <f>B11+C11*(I5-B5)+D11*(I5-B5)*(I5-B6)+E11*(I5-B5)*(I5-B6)*(I5-B7)</f>
        <v>1.2708510740000001</v>
      </c>
      <c r="H11" s="14"/>
      <c r="I11" s="14"/>
      <c r="J11" s="14"/>
      <c r="K11" s="11" t="s">
        <v>46</v>
      </c>
      <c r="L11" s="14"/>
      <c r="M11" s="14"/>
      <c r="N11" s="14"/>
      <c r="O11" s="14"/>
      <c r="P11" s="14"/>
      <c r="Q11" s="14"/>
      <c r="R11" s="14"/>
    </row>
    <row r="12" spans="1:18">
      <c r="A12" s="27"/>
      <c r="B12" s="27"/>
      <c r="C12" s="27"/>
      <c r="D12" s="27"/>
      <c r="E12" s="27"/>
      <c r="F12" s="14"/>
      <c r="G12" s="14"/>
      <c r="H12" s="14"/>
      <c r="I12" s="14"/>
      <c r="J12" s="19"/>
      <c r="K12" s="15" t="s">
        <v>47</v>
      </c>
      <c r="L12" s="14"/>
      <c r="M12" s="14"/>
      <c r="N12" s="14"/>
      <c r="O12" s="14"/>
      <c r="P12" s="14"/>
      <c r="Q12" s="14"/>
      <c r="R12" s="14"/>
    </row>
    <row r="13" spans="1:18">
      <c r="A13" s="14"/>
      <c r="B13" s="14"/>
      <c r="C13" s="14"/>
      <c r="D13" s="14"/>
      <c r="E13" s="14"/>
      <c r="F13" s="14"/>
      <c r="G13" s="14"/>
      <c r="H13" s="14"/>
      <c r="I13" s="14"/>
      <c r="J13" s="19"/>
      <c r="K13" s="15" t="s">
        <v>48</v>
      </c>
      <c r="L13" s="14"/>
      <c r="M13" s="14"/>
      <c r="N13" s="14"/>
      <c r="O13" s="9">
        <v>4</v>
      </c>
      <c r="P13" s="9">
        <v>6</v>
      </c>
      <c r="Q13" s="9">
        <v>7</v>
      </c>
      <c r="R13" s="9">
        <v>9</v>
      </c>
    </row>
    <row r="14" spans="1:18">
      <c r="A14" s="14"/>
      <c r="B14" s="14"/>
      <c r="C14" s="14"/>
      <c r="D14" s="14"/>
      <c r="E14" s="14"/>
      <c r="F14" s="14"/>
      <c r="G14" s="14"/>
      <c r="H14" s="14"/>
      <c r="I14" s="14"/>
      <c r="J14" s="19"/>
      <c r="K14" s="15" t="s">
        <v>49</v>
      </c>
      <c r="L14" s="14"/>
      <c r="M14" s="14"/>
      <c r="N14" s="14"/>
      <c r="O14" s="12">
        <v>1.04</v>
      </c>
      <c r="P14" s="12">
        <v>1.34</v>
      </c>
      <c r="Q14" s="12">
        <v>1.46</v>
      </c>
      <c r="R14" s="12">
        <v>2.2999999999999998</v>
      </c>
    </row>
    <row r="15" spans="1:18">
      <c r="A15" s="14"/>
      <c r="B15" s="14"/>
      <c r="C15" s="14"/>
      <c r="D15" s="14"/>
      <c r="E15" s="14"/>
      <c r="F15" s="14"/>
      <c r="G15" s="14"/>
      <c r="H15" s="14"/>
      <c r="I15" s="14"/>
      <c r="J15" s="19"/>
      <c r="K15" s="15" t="s">
        <v>50</v>
      </c>
      <c r="L15" s="14"/>
      <c r="M15" s="14"/>
      <c r="N15" s="14"/>
      <c r="O15" s="14"/>
      <c r="P15" s="14"/>
      <c r="Q15" s="14"/>
      <c r="R15" s="14"/>
    </row>
    <row r="16" spans="1:1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5" t="s">
        <v>51</v>
      </c>
      <c r="L16" s="14"/>
      <c r="M16" s="27"/>
      <c r="N16" s="27"/>
      <c r="O16" s="27"/>
      <c r="P16" s="14"/>
      <c r="Q16" s="14"/>
      <c r="R16" s="14"/>
    </row>
    <row r="17" spans="1:15">
      <c r="A17" s="14"/>
      <c r="B17" s="2" t="s">
        <v>34</v>
      </c>
      <c r="C17" s="2"/>
      <c r="D17" s="5"/>
      <c r="E17" s="14"/>
      <c r="F17" s="14"/>
      <c r="G17" s="14"/>
      <c r="H17" s="14"/>
      <c r="I17" s="14"/>
      <c r="J17" s="14"/>
      <c r="K17" s="15" t="s">
        <v>52</v>
      </c>
      <c r="L17" s="14"/>
      <c r="M17" s="27"/>
      <c r="N17" s="27"/>
      <c r="O17" s="27"/>
    </row>
    <row r="18" spans="1:15">
      <c r="A18" s="14"/>
      <c r="B18" s="32" t="s">
        <v>35</v>
      </c>
      <c r="C18" s="32" t="s">
        <v>36</v>
      </c>
      <c r="D18" s="32">
        <v>1</v>
      </c>
      <c r="E18" s="32">
        <v>2</v>
      </c>
      <c r="F18" s="32">
        <v>3</v>
      </c>
      <c r="G18" s="14"/>
      <c r="H18" s="2" t="s">
        <v>2</v>
      </c>
      <c r="I18" s="2"/>
      <c r="J18" s="14"/>
      <c r="K18" s="15"/>
      <c r="L18" s="14"/>
      <c r="M18" s="14"/>
      <c r="N18" s="14"/>
      <c r="O18" s="14"/>
    </row>
    <row r="19" spans="1:15">
      <c r="A19" s="14">
        <v>3</v>
      </c>
      <c r="B19" s="33">
        <v>9</v>
      </c>
      <c r="C19" s="12">
        <v>2.2999999999999998</v>
      </c>
      <c r="D19" s="27"/>
      <c r="E19" s="27"/>
      <c r="F19" s="27"/>
      <c r="G19" s="27"/>
      <c r="H19" s="13" t="s">
        <v>5</v>
      </c>
      <c r="I19" s="10">
        <v>5.23</v>
      </c>
      <c r="J19" s="14"/>
      <c r="K19" s="15"/>
      <c r="L19" s="14"/>
      <c r="M19" s="14"/>
      <c r="N19" s="14"/>
      <c r="O19" s="14"/>
    </row>
    <row r="20" spans="1:15">
      <c r="A20" s="14">
        <v>2</v>
      </c>
      <c r="B20" s="12">
        <v>7</v>
      </c>
      <c r="C20" s="12">
        <v>1.46</v>
      </c>
      <c r="D20" s="17">
        <f>($C20-$C$19)/($B20-$B$19)</f>
        <v>0.41999999999999993</v>
      </c>
      <c r="E20" s="27"/>
      <c r="F20" s="27"/>
      <c r="G20" s="27"/>
      <c r="H20" s="13" t="s">
        <v>8</v>
      </c>
      <c r="I20" s="13">
        <f>G25</f>
        <v>1.2708510740000003</v>
      </c>
      <c r="J20" s="14"/>
      <c r="K20" s="11" t="s">
        <v>53</v>
      </c>
      <c r="L20" s="14"/>
      <c r="M20" s="14"/>
      <c r="N20" s="14"/>
      <c r="O20" s="14"/>
    </row>
    <row r="21" spans="1:15">
      <c r="A21" s="14">
        <v>1</v>
      </c>
      <c r="B21" s="12">
        <v>6</v>
      </c>
      <c r="C21" s="12">
        <v>1.34</v>
      </c>
      <c r="D21" s="17">
        <f>($C21-$C$19)/($B21-$B$19)</f>
        <v>0.3199999999999999</v>
      </c>
      <c r="E21" s="17">
        <f>(D21-D20)/(B21-B20)</f>
        <v>0.10000000000000003</v>
      </c>
      <c r="F21" s="27"/>
      <c r="G21" s="27"/>
      <c r="H21" s="14"/>
      <c r="I21" s="14"/>
      <c r="J21" s="14"/>
      <c r="K21" s="15" t="s">
        <v>54</v>
      </c>
      <c r="L21" s="14"/>
      <c r="M21" s="14"/>
      <c r="N21" s="14"/>
      <c r="O21" s="14"/>
    </row>
    <row r="22" spans="1:15">
      <c r="A22" s="14">
        <v>0</v>
      </c>
      <c r="B22" s="12">
        <v>4</v>
      </c>
      <c r="C22" s="12">
        <v>1.04</v>
      </c>
      <c r="D22" s="17">
        <f>($C22-$C$19)/($B22-$B$19)</f>
        <v>0.25199999999999995</v>
      </c>
      <c r="E22" s="17">
        <f>(D22-D20)/(B22-B20)</f>
        <v>5.5999999999999994E-2</v>
      </c>
      <c r="F22" s="17">
        <f>(E22-E21)/(B22-B21)</f>
        <v>2.200000000000002E-2</v>
      </c>
      <c r="G22" s="27"/>
      <c r="H22" s="27"/>
      <c r="I22" s="14"/>
      <c r="J22" s="14"/>
      <c r="K22" s="15" t="s">
        <v>55</v>
      </c>
      <c r="L22" s="14"/>
      <c r="M22" s="14"/>
      <c r="N22" s="14"/>
      <c r="O22" s="14"/>
    </row>
    <row r="23" spans="1:15">
      <c r="A23" s="14"/>
      <c r="B23" s="14"/>
      <c r="C23" s="14"/>
      <c r="D23" s="14"/>
      <c r="E23" s="14"/>
      <c r="F23" s="14"/>
      <c r="G23" s="27"/>
      <c r="H23" s="27"/>
      <c r="I23" s="14"/>
      <c r="J23" s="14"/>
      <c r="K23" s="35" t="s">
        <v>56</v>
      </c>
      <c r="L23" s="14"/>
      <c r="M23" s="14"/>
      <c r="N23" s="14"/>
      <c r="O23" s="14"/>
    </row>
    <row r="24" spans="1:15">
      <c r="A24" s="14"/>
      <c r="B24" s="16" t="s">
        <v>57</v>
      </c>
      <c r="C24" s="16" t="s">
        <v>58</v>
      </c>
      <c r="D24" s="16" t="s">
        <v>59</v>
      </c>
      <c r="E24" s="16" t="s">
        <v>60</v>
      </c>
      <c r="F24" s="14"/>
      <c r="G24" s="16" t="s">
        <v>45</v>
      </c>
      <c r="H24" s="14"/>
      <c r="I24" s="14"/>
      <c r="J24" s="27"/>
      <c r="K24" s="27"/>
      <c r="L24" s="27"/>
      <c r="M24" s="14"/>
      <c r="N24" s="14"/>
      <c r="O24" s="14"/>
    </row>
    <row r="25" spans="1:15">
      <c r="A25" s="14"/>
      <c r="B25" s="17">
        <f>C19</f>
        <v>2.2999999999999998</v>
      </c>
      <c r="C25" s="17">
        <f>D20</f>
        <v>0.41999999999999993</v>
      </c>
      <c r="D25" s="17">
        <f>E21</f>
        <v>0.10000000000000003</v>
      </c>
      <c r="E25" s="17">
        <f>F22</f>
        <v>2.200000000000002E-2</v>
      </c>
      <c r="F25" s="14"/>
      <c r="G25" s="17">
        <f>B25+C25*(I19-B19)+D25*(I19-B19)*(I19-B20)+E25*(I19-B19)*(I19-B20)*(I19-B21)</f>
        <v>1.2708510740000003</v>
      </c>
      <c r="H25" s="14"/>
      <c r="I25" s="14"/>
      <c r="J25" s="27"/>
      <c r="K25" s="14"/>
      <c r="L25" s="27"/>
      <c r="M25" s="14"/>
      <c r="N25" s="14"/>
      <c r="O25" s="14"/>
    </row>
    <row r="26" spans="1:15">
      <c r="A26" s="14"/>
      <c r="B26" s="14"/>
      <c r="C26" s="14"/>
      <c r="D26" s="14"/>
      <c r="E26" s="14"/>
      <c r="F26" s="14"/>
      <c r="G26" s="14"/>
      <c r="H26" s="14"/>
      <c r="I26" s="14"/>
      <c r="J26" s="27"/>
      <c r="K26" s="29" t="s">
        <v>61</v>
      </c>
      <c r="L26" s="27"/>
      <c r="M26" s="14"/>
      <c r="N26" s="14"/>
      <c r="O26" s="14"/>
    </row>
    <row r="27" spans="1:15">
      <c r="A27" s="14"/>
      <c r="B27" s="14"/>
      <c r="C27" s="14"/>
      <c r="D27" s="14"/>
      <c r="E27" s="14"/>
      <c r="F27" s="14"/>
      <c r="G27" s="14"/>
      <c r="H27" s="14"/>
      <c r="I27" s="14"/>
      <c r="J27" s="27"/>
      <c r="K27" s="30"/>
      <c r="L27" s="27"/>
      <c r="M27" s="14"/>
      <c r="N27" s="14"/>
      <c r="O27" s="14"/>
    </row>
    <row r="28" spans="1:15">
      <c r="A28" s="14"/>
      <c r="B28" s="14"/>
      <c r="C28" s="14"/>
      <c r="D28" s="14"/>
      <c r="E28" s="14"/>
      <c r="F28" s="14"/>
      <c r="G28" s="14"/>
      <c r="H28" s="14"/>
      <c r="I28" s="14"/>
      <c r="J28" s="27"/>
      <c r="K28" s="30"/>
      <c r="L28" s="27"/>
      <c r="M28" s="14"/>
      <c r="N28" s="14"/>
      <c r="O28" s="14"/>
    </row>
    <row r="29" spans="1:15">
      <c r="A29" s="14"/>
      <c r="B29" s="14"/>
      <c r="C29" s="14"/>
      <c r="D29" s="14"/>
      <c r="E29" s="14"/>
      <c r="F29" s="14"/>
      <c r="G29" s="14"/>
      <c r="H29" s="14"/>
      <c r="I29" s="14"/>
      <c r="J29" s="27"/>
      <c r="K29" s="30"/>
      <c r="L29" s="27"/>
      <c r="M29" s="14"/>
      <c r="N29" s="14"/>
      <c r="O29" s="14"/>
    </row>
    <row r="30" spans="1:15">
      <c r="A30" s="14"/>
      <c r="B30" s="14"/>
      <c r="C30" s="14"/>
      <c r="D30" s="14"/>
      <c r="E30" s="14"/>
      <c r="F30" s="14"/>
      <c r="G30" s="14"/>
      <c r="H30" s="14"/>
      <c r="I30" s="14"/>
      <c r="J30" s="27"/>
      <c r="K30" s="30"/>
      <c r="L30" s="27"/>
      <c r="M30" s="14"/>
      <c r="N30" s="14"/>
      <c r="O30" s="14"/>
    </row>
    <row r="31" spans="1: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30"/>
      <c r="L31" s="14"/>
      <c r="M31" s="14"/>
      <c r="N31" s="14"/>
      <c r="O31" s="14"/>
    </row>
    <row r="32" spans="1:1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30"/>
      <c r="L32" s="14"/>
      <c r="M32" s="14"/>
      <c r="N32" s="14"/>
      <c r="O32" s="14"/>
    </row>
    <row r="33" spans="11:11">
      <c r="K33" s="30" t="s">
        <v>62</v>
      </c>
    </row>
    <row r="34" spans="11:11">
      <c r="K34" s="30"/>
    </row>
    <row r="35" spans="11:11">
      <c r="K35" s="30"/>
    </row>
    <row r="36" spans="11:11">
      <c r="K36" s="30"/>
    </row>
    <row r="37" spans="11:11">
      <c r="K37" s="30"/>
    </row>
    <row r="38" spans="11:11">
      <c r="K38" s="30"/>
    </row>
    <row r="39" spans="11:11">
      <c r="K39" s="31"/>
    </row>
    <row r="40" spans="11:11">
      <c r="K40" s="27"/>
    </row>
    <row r="41" spans="11:11">
      <c r="K41" s="27"/>
    </row>
    <row r="42" spans="11:11">
      <c r="K42" s="27"/>
    </row>
    <row r="43" spans="11:11">
      <c r="K43" s="27"/>
    </row>
    <row r="44" spans="11:11">
      <c r="K44" s="27"/>
    </row>
    <row r="45" spans="11:11">
      <c r="K45" s="27"/>
    </row>
    <row r="46" spans="11:11">
      <c r="K46" s="36"/>
    </row>
    <row r="47" spans="11:11">
      <c r="K47" s="37"/>
    </row>
    <row r="48" spans="11:11">
      <c r="K48" s="27"/>
    </row>
    <row r="49" spans="11:11">
      <c r="K49" s="27"/>
    </row>
    <row r="50" spans="11:11">
      <c r="K50" s="27"/>
    </row>
  </sheetData>
  <mergeCells count="5">
    <mergeCell ref="B1:E1"/>
    <mergeCell ref="B3:C3"/>
    <mergeCell ref="H4:I4"/>
    <mergeCell ref="B17:C17"/>
    <mergeCell ref="H18:I18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zoomScaleNormal="100" workbookViewId="0">
      <selection activeCell="I5" sqref="I5"/>
    </sheetView>
  </sheetViews>
  <sheetFormatPr defaultColWidth="8.5703125" defaultRowHeight="12.75"/>
  <cols>
    <col min="10" max="10" width="11.28515625" customWidth="1"/>
    <col min="14" max="14" width="38.85546875" customWidth="1"/>
  </cols>
  <sheetData>
    <row r="1" spans="1:14" ht="15">
      <c r="A1" s="14"/>
      <c r="B1" s="3" t="s">
        <v>63</v>
      </c>
      <c r="C1" s="3"/>
      <c r="D1" s="3"/>
      <c r="E1" s="3"/>
      <c r="F1" s="14"/>
      <c r="G1" s="14"/>
      <c r="H1" s="14"/>
      <c r="I1" s="14"/>
      <c r="J1" s="14"/>
      <c r="K1" s="14"/>
      <c r="L1" s="14"/>
      <c r="M1" s="14"/>
      <c r="N1" s="4"/>
    </row>
    <row r="3" spans="1:14">
      <c r="A3" s="5"/>
      <c r="B3" s="2" t="s">
        <v>1</v>
      </c>
      <c r="C3" s="2"/>
      <c r="D3" s="2"/>
      <c r="E3" s="2"/>
      <c r="F3" s="14"/>
      <c r="G3" s="14"/>
      <c r="H3" s="2" t="s">
        <v>2</v>
      </c>
      <c r="I3" s="2"/>
      <c r="J3" s="14"/>
      <c r="K3" s="14"/>
      <c r="L3" s="14"/>
      <c r="M3" s="14"/>
      <c r="N3" s="7" t="s">
        <v>3</v>
      </c>
    </row>
    <row r="4" spans="1:14">
      <c r="A4" s="8" t="s">
        <v>4</v>
      </c>
      <c r="B4" s="9">
        <v>4</v>
      </c>
      <c r="C4" s="9">
        <v>6</v>
      </c>
      <c r="D4" s="9">
        <v>7</v>
      </c>
      <c r="E4" s="9">
        <v>9</v>
      </c>
      <c r="F4" s="14"/>
      <c r="G4" s="14"/>
      <c r="H4" s="13" t="s">
        <v>5</v>
      </c>
      <c r="I4" s="10">
        <v>5.23</v>
      </c>
      <c r="J4" s="14"/>
      <c r="K4" s="14"/>
      <c r="L4" s="14"/>
      <c r="M4" s="14"/>
      <c r="N4" s="11" t="s">
        <v>6</v>
      </c>
    </row>
    <row r="5" spans="1:14">
      <c r="A5" s="8" t="s">
        <v>7</v>
      </c>
      <c r="B5" s="12">
        <v>1.04</v>
      </c>
      <c r="C5" s="12">
        <v>1.34</v>
      </c>
      <c r="D5" s="12">
        <v>1.46</v>
      </c>
      <c r="E5" s="12">
        <v>2.2999999999999998</v>
      </c>
      <c r="F5" s="14"/>
      <c r="G5" s="14"/>
      <c r="H5" s="13" t="s">
        <v>8</v>
      </c>
      <c r="I5" s="17">
        <f>B9 + C9 * (I4 - B4) + D9 * (I4 - B4) * (I4 - B4) + E9 * (I4 - B4) * (I4 - B4) * (I4 - B4)</f>
        <v>1.2454769120000002</v>
      </c>
      <c r="J5" s="14"/>
      <c r="K5" s="14"/>
      <c r="L5" s="14"/>
      <c r="M5" s="14"/>
      <c r="N5" s="11" t="s">
        <v>9</v>
      </c>
    </row>
    <row r="6" spans="1:14">
      <c r="A6" s="14"/>
      <c r="B6" s="27"/>
      <c r="C6" s="27"/>
      <c r="D6" s="27"/>
      <c r="E6" s="27"/>
      <c r="F6" s="14"/>
      <c r="G6" s="14"/>
      <c r="H6" s="14"/>
      <c r="I6" s="38"/>
      <c r="J6" s="14"/>
      <c r="K6" s="14"/>
      <c r="L6" s="14"/>
      <c r="M6" s="14"/>
      <c r="N6" s="15" t="s">
        <v>64</v>
      </c>
    </row>
    <row r="7" spans="1:14">
      <c r="A7" s="14"/>
      <c r="B7" s="14"/>
      <c r="C7" s="14"/>
      <c r="D7" s="14"/>
      <c r="E7" s="27"/>
      <c r="F7" s="14"/>
      <c r="G7" s="14"/>
      <c r="H7" s="14"/>
      <c r="I7" s="14"/>
      <c r="J7" s="14"/>
      <c r="K7" s="14"/>
      <c r="L7" s="14"/>
      <c r="M7" s="14"/>
      <c r="N7" s="15" t="s">
        <v>65</v>
      </c>
    </row>
    <row r="8" spans="1:14">
      <c r="A8" s="14"/>
      <c r="B8" s="16" t="s">
        <v>66</v>
      </c>
      <c r="C8" s="16" t="s">
        <v>67</v>
      </c>
      <c r="D8" s="16" t="s">
        <v>68</v>
      </c>
      <c r="E8" s="16" t="s">
        <v>69</v>
      </c>
      <c r="F8" s="27"/>
      <c r="G8" s="16" t="s">
        <v>70</v>
      </c>
      <c r="H8" s="14"/>
      <c r="I8" s="39" t="s">
        <v>71</v>
      </c>
      <c r="J8" s="16" t="s">
        <v>72</v>
      </c>
      <c r="K8" s="14"/>
      <c r="L8" s="14"/>
      <c r="M8" s="14"/>
      <c r="N8" s="15" t="s">
        <v>73</v>
      </c>
    </row>
    <row r="9" spans="1:14">
      <c r="A9" s="14">
        <v>1</v>
      </c>
      <c r="B9" s="17">
        <f>B5</f>
        <v>1.04</v>
      </c>
      <c r="C9" s="17">
        <f>L25</f>
        <v>0.17742857142857152</v>
      </c>
      <c r="D9" s="17">
        <v>0</v>
      </c>
      <c r="E9" s="17">
        <f>L26</f>
        <v>-6.8571428571428663E-3</v>
      </c>
      <c r="F9" s="27"/>
      <c r="G9" s="17">
        <f>C4-B4</f>
        <v>2</v>
      </c>
      <c r="H9" s="14"/>
      <c r="I9" s="17">
        <f ca="1">RAND()*G9+B4</f>
        <v>4.0252575376810755</v>
      </c>
      <c r="J9" s="40">
        <f ca="1">B9 + C9 * (I9 - B4) + D9 * (I9 - B4) * (I9 - B4) + E9 * (I9 - B4) * (I9 - B4) * (I9 - B4)</f>
        <v>1.0444812983402731</v>
      </c>
      <c r="K9" s="14"/>
      <c r="L9" s="14"/>
      <c r="M9" s="14"/>
      <c r="N9" s="11" t="s">
        <v>74</v>
      </c>
    </row>
    <row r="10" spans="1:14">
      <c r="A10" s="14">
        <v>2</v>
      </c>
      <c r="B10" s="17">
        <f>C5</f>
        <v>1.34</v>
      </c>
      <c r="C10" s="17">
        <f>L27</f>
        <v>9.5142857142857085E-2</v>
      </c>
      <c r="D10" s="17">
        <f>L28</f>
        <v>-4.1142857142857231E-2</v>
      </c>
      <c r="E10" s="17">
        <f>L29</f>
        <v>6.6000000000000017E-2</v>
      </c>
      <c r="F10" s="14"/>
      <c r="G10" s="17">
        <f>D4-C4</f>
        <v>1</v>
      </c>
      <c r="H10" s="14"/>
      <c r="I10" s="41">
        <f ca="1">RAND()*G10+C4</f>
        <v>6.0184934217122299</v>
      </c>
      <c r="J10" s="17">
        <f ca="1">B10 + C10 * (I10 - C4) + D10 * (I10 - C4) * (I10 - C4) + E10 * (I10 - C4) * (I10 - C4) * (I10 - C4)</f>
        <v>1.3417458632910728</v>
      </c>
      <c r="K10" s="14"/>
      <c r="L10" s="14"/>
      <c r="M10" s="14"/>
      <c r="N10" s="15"/>
    </row>
    <row r="11" spans="1:14">
      <c r="A11" s="14">
        <v>3</v>
      </c>
      <c r="B11" s="17">
        <f>D5</f>
        <v>1.46</v>
      </c>
      <c r="C11" s="17">
        <f>L30</f>
        <v>0.21085714285714277</v>
      </c>
      <c r="D11" s="17">
        <f>L31</f>
        <v>0.15685714285714286</v>
      </c>
      <c r="E11" s="17">
        <f>L32</f>
        <v>-2.6142857142857145E-2</v>
      </c>
      <c r="F11" s="14"/>
      <c r="G11" s="17">
        <f>E4-D4</f>
        <v>2</v>
      </c>
      <c r="H11" s="14"/>
      <c r="I11" s="17">
        <f ca="1">RAND()*G11+D4</f>
        <v>7.4905604442180227</v>
      </c>
      <c r="J11" s="17">
        <f ca="1">B11 + C11 * (I11 - D4) + D11 * (I11 - D4) * (I11 - D4) + E11 * (I11 - D4) * (I11- D4) * (I11 - D4)</f>
        <v>1.5980995277878949</v>
      </c>
      <c r="K11" s="14"/>
      <c r="L11" s="14"/>
      <c r="M11" s="14"/>
      <c r="N11" s="15"/>
    </row>
    <row r="12" spans="1:14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5"/>
    </row>
    <row r="13" spans="1:14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</row>
    <row r="14" spans="1:14">
      <c r="A14" s="14"/>
      <c r="B14" s="1" t="s">
        <v>75</v>
      </c>
      <c r="C14" s="1"/>
      <c r="D14" s="1"/>
      <c r="E14" s="1"/>
      <c r="F14" s="1"/>
      <c r="G14" s="1"/>
      <c r="H14" s="1"/>
      <c r="I14" s="1"/>
      <c r="J14" s="14"/>
      <c r="K14" s="14"/>
      <c r="L14" s="14"/>
      <c r="M14" s="14"/>
      <c r="N14" s="15"/>
    </row>
    <row r="15" spans="1:14">
      <c r="A15" s="14"/>
      <c r="B15" s="14" t="s">
        <v>76</v>
      </c>
      <c r="C15" s="14" t="s">
        <v>77</v>
      </c>
      <c r="D15" s="14" t="s">
        <v>78</v>
      </c>
      <c r="E15" s="14" t="s">
        <v>79</v>
      </c>
      <c r="F15" s="14" t="s">
        <v>80</v>
      </c>
      <c r="G15" s="14" t="s">
        <v>81</v>
      </c>
      <c r="H15" s="14" t="s">
        <v>82</v>
      </c>
      <c r="I15" s="14" t="s">
        <v>83</v>
      </c>
      <c r="J15" s="14" t="s">
        <v>84</v>
      </c>
      <c r="K15" s="14" t="s">
        <v>85</v>
      </c>
      <c r="L15" s="14"/>
      <c r="M15" s="14"/>
      <c r="N15" s="15"/>
    </row>
    <row r="16" spans="1:14">
      <c r="A16" s="14"/>
      <c r="B16" s="43">
        <f>G9</f>
        <v>2</v>
      </c>
      <c r="C16" s="50">
        <f>G9*G9*G9</f>
        <v>8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48">
        <f>C5-B5</f>
        <v>0.30000000000000004</v>
      </c>
      <c r="K16" s="14">
        <f t="array" ref="K16:K23">MMULT(B16:I23,L25:L32)</f>
        <v>0.3000000000000001</v>
      </c>
      <c r="L16" s="14"/>
      <c r="M16" s="14"/>
      <c r="N16" s="15"/>
    </row>
    <row r="17" spans="1:14">
      <c r="A17" s="14"/>
      <c r="B17" s="44">
        <v>1</v>
      </c>
      <c r="C17" s="27">
        <f>3*G9*G9</f>
        <v>12</v>
      </c>
      <c r="D17" s="27">
        <v>-1</v>
      </c>
      <c r="E17" s="27">
        <v>0</v>
      </c>
      <c r="F17" s="27">
        <v>0</v>
      </c>
      <c r="G17" s="14">
        <v>0</v>
      </c>
      <c r="H17" s="14">
        <v>0</v>
      </c>
      <c r="I17" s="27">
        <v>0</v>
      </c>
      <c r="J17" s="46">
        <v>0</v>
      </c>
      <c r="K17" s="14">
        <v>4.163336342344337E-17</v>
      </c>
      <c r="L17" s="14"/>
      <c r="M17" s="14"/>
      <c r="N17" s="15" t="s">
        <v>86</v>
      </c>
    </row>
    <row r="18" spans="1:14">
      <c r="A18" s="14"/>
      <c r="B18" s="44">
        <v>0</v>
      </c>
      <c r="C18" s="27">
        <f>3*G9</f>
        <v>6</v>
      </c>
      <c r="D18" s="27">
        <v>0</v>
      </c>
      <c r="E18" s="27">
        <v>-1</v>
      </c>
      <c r="F18" s="27">
        <v>0</v>
      </c>
      <c r="G18" s="14">
        <v>0</v>
      </c>
      <c r="H18" s="14">
        <v>0</v>
      </c>
      <c r="I18" s="27">
        <v>0</v>
      </c>
      <c r="J18" s="46">
        <v>0</v>
      </c>
      <c r="K18" s="14">
        <v>3.4694469519536142E-17</v>
      </c>
      <c r="L18" s="14"/>
      <c r="M18" s="14"/>
      <c r="N18" s="15" t="s">
        <v>87</v>
      </c>
    </row>
    <row r="19" spans="1:14">
      <c r="A19" s="14"/>
      <c r="B19" s="44">
        <v>0</v>
      </c>
      <c r="C19" s="27">
        <v>0</v>
      </c>
      <c r="D19" s="27">
        <f>G10</f>
        <v>1</v>
      </c>
      <c r="E19" s="27">
        <f>G10*G10</f>
        <v>1</v>
      </c>
      <c r="F19" s="27">
        <f>G10*G10*G10</f>
        <v>1</v>
      </c>
      <c r="G19" s="14">
        <v>0</v>
      </c>
      <c r="H19" s="14">
        <v>0</v>
      </c>
      <c r="I19" s="27">
        <v>0</v>
      </c>
      <c r="J19" s="46">
        <f>D5-C5</f>
        <v>0.11999999999999988</v>
      </c>
      <c r="K19" s="14">
        <v>0.11999999999999987</v>
      </c>
      <c r="L19" s="14"/>
      <c r="M19" s="14"/>
      <c r="N19" s="15" t="s">
        <v>88</v>
      </c>
    </row>
    <row r="20" spans="1:14">
      <c r="A20" s="14"/>
      <c r="B20" s="44">
        <v>0</v>
      </c>
      <c r="C20" s="27">
        <v>0</v>
      </c>
      <c r="D20" s="27">
        <v>1</v>
      </c>
      <c r="E20" s="27">
        <f>2*G10</f>
        <v>2</v>
      </c>
      <c r="F20" s="27">
        <f>3*G10*G10</f>
        <v>3</v>
      </c>
      <c r="G20" s="14">
        <v>-1</v>
      </c>
      <c r="H20" s="14">
        <v>0</v>
      </c>
      <c r="I20" s="27">
        <v>0</v>
      </c>
      <c r="J20" s="46">
        <v>0</v>
      </c>
      <c r="K20" s="14">
        <v>-8.3266726846886741E-17</v>
      </c>
      <c r="L20" s="14"/>
      <c r="M20" s="14"/>
      <c r="N20" s="15" t="s">
        <v>89</v>
      </c>
    </row>
    <row r="21" spans="1:14">
      <c r="A21" s="14"/>
      <c r="B21" s="44">
        <v>0</v>
      </c>
      <c r="C21" s="27">
        <v>0</v>
      </c>
      <c r="D21" s="27">
        <v>0</v>
      </c>
      <c r="E21" s="27">
        <v>1</v>
      </c>
      <c r="F21" s="27">
        <f>3*G10</f>
        <v>3</v>
      </c>
      <c r="G21" s="14">
        <v>0</v>
      </c>
      <c r="H21" s="14">
        <v>-1</v>
      </c>
      <c r="I21" s="27">
        <v>0</v>
      </c>
      <c r="J21" s="46">
        <v>0</v>
      </c>
      <c r="K21" s="14">
        <v>-2.7755575615628914E-17</v>
      </c>
      <c r="L21" s="14"/>
      <c r="M21" s="14"/>
      <c r="N21" s="15"/>
    </row>
    <row r="22" spans="1:14">
      <c r="A22" s="14"/>
      <c r="B22" s="44">
        <v>0</v>
      </c>
      <c r="C22" s="27">
        <v>0</v>
      </c>
      <c r="D22" s="27">
        <v>0</v>
      </c>
      <c r="E22" s="27">
        <v>0</v>
      </c>
      <c r="F22" s="27">
        <v>0</v>
      </c>
      <c r="G22" s="14">
        <f>G11</f>
        <v>2</v>
      </c>
      <c r="H22" s="14">
        <f>G11*G11</f>
        <v>4</v>
      </c>
      <c r="I22" s="27">
        <f>G11*G11*G11</f>
        <v>8</v>
      </c>
      <c r="J22" s="46">
        <f>E5-D5</f>
        <v>0.83999999999999986</v>
      </c>
      <c r="K22" s="44">
        <v>0.83999999999999975</v>
      </c>
      <c r="L22" s="27"/>
      <c r="M22" s="14"/>
      <c r="N22" s="15"/>
    </row>
    <row r="23" spans="1:14">
      <c r="A23" s="44"/>
      <c r="B23" s="44">
        <v>0</v>
      </c>
      <c r="C23" s="27">
        <v>0</v>
      </c>
      <c r="D23" s="27">
        <v>0</v>
      </c>
      <c r="E23" s="27">
        <v>0</v>
      </c>
      <c r="F23" s="27">
        <v>0</v>
      </c>
      <c r="G23" s="14">
        <v>0</v>
      </c>
      <c r="H23" s="14">
        <v>1</v>
      </c>
      <c r="I23" s="27">
        <f>3*G11</f>
        <v>6</v>
      </c>
      <c r="J23" s="46">
        <v>0</v>
      </c>
      <c r="K23" s="27">
        <v>0</v>
      </c>
      <c r="L23" s="27"/>
      <c r="M23" s="14"/>
      <c r="N23" s="15"/>
    </row>
    <row r="24" spans="1:14">
      <c r="A24" s="27"/>
      <c r="B24" s="45"/>
      <c r="C24" s="45"/>
      <c r="D24" s="45"/>
      <c r="E24" s="45"/>
      <c r="F24" s="45"/>
      <c r="G24" s="45"/>
      <c r="H24" s="45"/>
      <c r="I24" s="45"/>
      <c r="J24" s="45"/>
      <c r="K24" s="27"/>
      <c r="L24" s="27"/>
      <c r="M24" s="14"/>
      <c r="N24" s="15"/>
    </row>
    <row r="25" spans="1:14">
      <c r="A25" s="46"/>
      <c r="B25" s="27">
        <f t="array" ref="B25:I32">MINVERSE(B16:I23)</f>
        <v>0.67142857142857149</v>
      </c>
      <c r="C25" s="27">
        <v>-0.34285714285714286</v>
      </c>
      <c r="D25" s="27">
        <v>-0.20952380952380953</v>
      </c>
      <c r="E25" s="27">
        <v>-0.4</v>
      </c>
      <c r="F25" s="27">
        <v>5.7142857142857127E-2</v>
      </c>
      <c r="G25" s="14">
        <v>7.6190476190476183E-2</v>
      </c>
      <c r="H25" s="14">
        <v>2.8571428571428564E-2</v>
      </c>
      <c r="I25" s="14">
        <v>-3.8095238095238085E-2</v>
      </c>
      <c r="J25" s="44"/>
      <c r="K25" s="47" t="s">
        <v>90</v>
      </c>
      <c r="L25" s="48">
        <f t="array" ref="L25:L32">MMULT(B25:I32,J16:J23)</f>
        <v>0.17742857142857152</v>
      </c>
      <c r="M25" s="14"/>
      <c r="N25" s="15"/>
    </row>
    <row r="26" spans="1:14">
      <c r="A26" s="46"/>
      <c r="B26" s="27">
        <v>-4.2857142857142858E-2</v>
      </c>
      <c r="C26" s="27">
        <v>8.5714285714285715E-2</v>
      </c>
      <c r="D26" s="27">
        <v>5.2380952380952382E-2</v>
      </c>
      <c r="E26" s="27">
        <v>0.1</v>
      </c>
      <c r="F26" s="27">
        <v>-1.4285714285714282E-2</v>
      </c>
      <c r="G26" s="14">
        <v>-1.9047619047619046E-2</v>
      </c>
      <c r="H26" s="14">
        <v>-7.1428571428571409E-3</v>
      </c>
      <c r="I26" s="14">
        <v>9.5238095238095212E-3</v>
      </c>
      <c r="J26" s="44"/>
      <c r="K26" s="47" t="s">
        <v>91</v>
      </c>
      <c r="L26" s="46">
        <v>-6.8571428571428663E-3</v>
      </c>
      <c r="M26" s="14"/>
      <c r="N26" s="15"/>
    </row>
    <row r="27" spans="1:14">
      <c r="A27" s="46"/>
      <c r="B27" s="27">
        <v>0.15714285714285714</v>
      </c>
      <c r="C27" s="27">
        <v>-0.31428571428571428</v>
      </c>
      <c r="D27" s="27">
        <v>0.41904761904761906</v>
      </c>
      <c r="E27" s="27">
        <v>0.8</v>
      </c>
      <c r="F27" s="27">
        <v>-0.11428571428571425</v>
      </c>
      <c r="G27" s="14">
        <v>-0.15238095238095237</v>
      </c>
      <c r="H27" s="14">
        <v>-5.7142857142857127E-2</v>
      </c>
      <c r="I27" s="14">
        <v>7.619047619047617E-2</v>
      </c>
      <c r="J27" s="44"/>
      <c r="K27" s="47" t="s">
        <v>92</v>
      </c>
      <c r="L27" s="46">
        <v>9.5142857142857085E-2</v>
      </c>
      <c r="M27" s="14"/>
      <c r="N27" s="15"/>
    </row>
    <row r="28" spans="1:14">
      <c r="A28" s="46"/>
      <c r="B28" s="27">
        <v>-0.25714285714285712</v>
      </c>
      <c r="C28" s="27">
        <v>0.51428571428571423</v>
      </c>
      <c r="D28" s="27">
        <v>-0.68571428571428572</v>
      </c>
      <c r="E28" s="27">
        <v>0.59999999999999987</v>
      </c>
      <c r="F28" s="27">
        <v>-8.5714285714285701E-2</v>
      </c>
      <c r="G28" s="27">
        <v>-0.1142857142857143</v>
      </c>
      <c r="H28" s="27">
        <v>-4.2857142857142851E-2</v>
      </c>
      <c r="I28" s="27">
        <v>5.7142857142857127E-2</v>
      </c>
      <c r="J28" s="44"/>
      <c r="K28" s="47" t="s">
        <v>93</v>
      </c>
      <c r="L28" s="46">
        <v>-4.1142857142857231E-2</v>
      </c>
      <c r="M28" s="14"/>
      <c r="N28" s="15"/>
    </row>
    <row r="29" spans="1:14">
      <c r="A29" s="46"/>
      <c r="B29" s="27">
        <v>9.9999999999999978E-2</v>
      </c>
      <c r="C29" s="27">
        <v>-0.19999999999999996</v>
      </c>
      <c r="D29" s="27">
        <v>0.26666666666666666</v>
      </c>
      <c r="E29" s="27">
        <v>-0.39999999999999991</v>
      </c>
      <c r="F29" s="27">
        <v>0.19999999999999996</v>
      </c>
      <c r="G29" s="27">
        <v>0.26666666666666666</v>
      </c>
      <c r="H29" s="27">
        <v>9.9999999999999978E-2</v>
      </c>
      <c r="I29" s="14">
        <v>-0.1333333333333333</v>
      </c>
      <c r="J29" s="44"/>
      <c r="K29" s="47" t="s">
        <v>94</v>
      </c>
      <c r="L29" s="46">
        <v>6.6000000000000017E-2</v>
      </c>
      <c r="M29" s="14"/>
      <c r="N29" s="15"/>
    </row>
    <row r="30" spans="1:14">
      <c r="A30" s="46"/>
      <c r="B30" s="27">
        <v>-5.7142857142857155E-2</v>
      </c>
      <c r="C30" s="27">
        <v>0.11428571428571431</v>
      </c>
      <c r="D30" s="27">
        <v>-0.15238095238095239</v>
      </c>
      <c r="E30" s="27">
        <v>0.8</v>
      </c>
      <c r="F30" s="27">
        <v>-0.68571428571428572</v>
      </c>
      <c r="G30" s="27">
        <v>0.419047619047619</v>
      </c>
      <c r="H30" s="27">
        <v>0.15714285714285717</v>
      </c>
      <c r="I30" s="14">
        <v>-0.20952380952380956</v>
      </c>
      <c r="J30" s="44"/>
      <c r="K30" s="47" t="s">
        <v>95</v>
      </c>
      <c r="L30" s="46">
        <v>0.21085714285714277</v>
      </c>
      <c r="M30" s="14"/>
      <c r="N30" s="15"/>
    </row>
    <row r="31" spans="1:14">
      <c r="A31" s="46"/>
      <c r="B31" s="27">
        <v>4.2857142857142864E-2</v>
      </c>
      <c r="C31" s="27">
        <v>-8.5714285714285729E-2</v>
      </c>
      <c r="D31" s="27">
        <v>0.1142857142857143</v>
      </c>
      <c r="E31" s="27">
        <v>-0.6</v>
      </c>
      <c r="F31" s="27">
        <v>0.51428571428571423</v>
      </c>
      <c r="G31" s="27">
        <v>-0.31428571428571422</v>
      </c>
      <c r="H31" s="27">
        <v>0.25714285714285712</v>
      </c>
      <c r="I31" s="14">
        <v>-0.3428571428571428</v>
      </c>
      <c r="J31" s="44"/>
      <c r="K31" s="47" t="s">
        <v>96</v>
      </c>
      <c r="L31" s="46">
        <v>0.15685714285714286</v>
      </c>
      <c r="M31" s="14"/>
      <c r="N31" s="15"/>
    </row>
    <row r="32" spans="1:14">
      <c r="A32" s="46"/>
      <c r="B32" s="27">
        <v>-7.1428571428571435E-3</v>
      </c>
      <c r="C32" s="27">
        <v>1.4285714285714287E-2</v>
      </c>
      <c r="D32" s="27">
        <v>-1.9047619047619049E-2</v>
      </c>
      <c r="E32" s="27">
        <v>9.9999999999999992E-2</v>
      </c>
      <c r="F32" s="27">
        <v>-8.5714285714285701E-2</v>
      </c>
      <c r="G32" s="27">
        <v>5.2380952380952368E-2</v>
      </c>
      <c r="H32" s="27">
        <v>-4.2857142857142851E-2</v>
      </c>
      <c r="I32" s="14">
        <v>0.22380952380952379</v>
      </c>
      <c r="J32" s="44"/>
      <c r="K32" s="47" t="s">
        <v>97</v>
      </c>
      <c r="L32" s="49">
        <v>-2.6142857142857145E-2</v>
      </c>
      <c r="M32" s="14"/>
      <c r="N32" s="15"/>
    </row>
    <row r="33" spans="1:14">
      <c r="A33" s="27"/>
      <c r="B33" s="50"/>
      <c r="C33" s="50"/>
      <c r="D33" s="50"/>
      <c r="E33" s="50"/>
      <c r="F33" s="50"/>
      <c r="G33" s="50"/>
      <c r="H33" s="50"/>
      <c r="I33" s="50"/>
      <c r="J33" s="50"/>
      <c r="K33" s="14"/>
      <c r="L33" s="14"/>
      <c r="M33" s="14"/>
      <c r="N33" s="15" t="s">
        <v>98</v>
      </c>
    </row>
    <row r="34" spans="1:14">
      <c r="A34" s="27"/>
      <c r="B34" s="27"/>
      <c r="C34" s="27"/>
      <c r="D34" s="27"/>
      <c r="E34" s="27"/>
      <c r="F34" s="27"/>
      <c r="G34" s="27"/>
      <c r="H34" s="27"/>
      <c r="I34" s="14"/>
      <c r="J34" s="14"/>
      <c r="K34" s="14"/>
      <c r="L34" s="14"/>
      <c r="M34" s="14"/>
      <c r="N34" s="15" t="s">
        <v>99</v>
      </c>
    </row>
    <row r="35" spans="1:14">
      <c r="A35" s="27"/>
      <c r="B35" s="27"/>
      <c r="C35" s="27"/>
      <c r="D35" s="27"/>
      <c r="E35" s="27"/>
      <c r="F35" s="27"/>
      <c r="G35" s="27"/>
      <c r="H35" s="27"/>
      <c r="I35" s="14"/>
      <c r="J35" s="14"/>
      <c r="K35" s="14"/>
      <c r="L35" s="14"/>
      <c r="M35" s="14"/>
      <c r="N35" s="51" t="s">
        <v>100</v>
      </c>
    </row>
    <row r="36" spans="1:14">
      <c r="A36" s="27"/>
      <c r="B36" s="27"/>
      <c r="C36" s="27"/>
      <c r="D36" s="27"/>
      <c r="E36" s="27"/>
      <c r="F36" s="14"/>
      <c r="G36" s="27"/>
      <c r="H36" s="27"/>
      <c r="I36" s="14"/>
      <c r="J36" s="14"/>
      <c r="K36" s="14"/>
      <c r="L36" s="14"/>
      <c r="M36" s="14"/>
      <c r="N36" s="51" t="s">
        <v>101</v>
      </c>
    </row>
    <row r="37" spans="1:14">
      <c r="A37" s="27"/>
      <c r="B37" s="27"/>
      <c r="C37" s="27"/>
      <c r="D37" s="27"/>
      <c r="E37" s="27"/>
      <c r="F37" s="27"/>
      <c r="G37" s="27"/>
      <c r="H37" s="27"/>
      <c r="I37" s="14"/>
      <c r="J37" s="14"/>
      <c r="K37" s="14"/>
      <c r="L37" s="14"/>
      <c r="M37" s="14"/>
      <c r="N37" s="15" t="s">
        <v>102</v>
      </c>
    </row>
    <row r="38" spans="1:14">
      <c r="A38" s="27"/>
      <c r="B38" s="27"/>
      <c r="C38" s="27"/>
      <c r="D38" s="27"/>
      <c r="E38" s="27"/>
      <c r="F38" s="27"/>
      <c r="G38" s="27"/>
      <c r="H38" s="27"/>
      <c r="I38" s="14"/>
      <c r="J38" s="14"/>
      <c r="K38" s="14"/>
      <c r="L38" s="14"/>
      <c r="M38" s="14"/>
      <c r="N38" s="35" t="s">
        <v>103</v>
      </c>
    </row>
    <row r="39" spans="1:14">
      <c r="A39" s="27"/>
      <c r="B39" s="27"/>
      <c r="C39" s="27"/>
      <c r="D39" s="27"/>
      <c r="E39" s="27"/>
      <c r="F39" s="27"/>
      <c r="G39" s="27"/>
      <c r="H39" s="27"/>
      <c r="I39" s="14"/>
      <c r="J39" s="14"/>
      <c r="K39" s="14"/>
      <c r="L39" s="14"/>
      <c r="M39" s="14"/>
      <c r="N39" s="14"/>
    </row>
    <row r="40" spans="1:14">
      <c r="A40" s="27"/>
      <c r="B40" s="27"/>
      <c r="C40" s="27"/>
      <c r="D40" s="27"/>
      <c r="E40" s="27"/>
      <c r="F40" s="27"/>
      <c r="G40" s="27"/>
      <c r="H40" s="27"/>
      <c r="I40" s="14"/>
      <c r="J40" s="14"/>
      <c r="K40" s="14"/>
      <c r="L40" s="14"/>
      <c r="M40" s="14"/>
      <c r="N40" s="14"/>
    </row>
    <row r="41" spans="1:14">
      <c r="A41" s="27"/>
      <c r="B41" s="27"/>
      <c r="C41" s="27"/>
      <c r="D41" s="27"/>
      <c r="E41" s="27"/>
      <c r="F41" s="27"/>
      <c r="G41" s="27"/>
      <c r="H41" s="27"/>
      <c r="I41" s="14"/>
      <c r="J41" s="14"/>
      <c r="K41" s="14"/>
      <c r="L41" s="14"/>
      <c r="M41" s="14"/>
      <c r="N41" s="29"/>
    </row>
    <row r="42" spans="1:14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14"/>
      <c r="L42" s="14"/>
      <c r="M42" s="14"/>
      <c r="N42" s="30"/>
    </row>
    <row r="43" spans="1:14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14"/>
      <c r="L43" s="14"/>
      <c r="M43" s="14"/>
      <c r="N43" s="31"/>
    </row>
    <row r="44" spans="1:14">
      <c r="A44" s="27"/>
      <c r="B44" s="27"/>
      <c r="C44" s="27"/>
      <c r="D44" s="27"/>
      <c r="E44" s="27"/>
      <c r="F44" s="27"/>
      <c r="G44" s="27"/>
      <c r="H44" s="27"/>
      <c r="I44" s="22"/>
      <c r="J44" s="27"/>
      <c r="K44" s="14"/>
      <c r="L44" s="14"/>
      <c r="M44" s="14"/>
      <c r="N44" s="14"/>
    </row>
    <row r="45" spans="1:14">
      <c r="A45" s="27"/>
      <c r="B45" s="27"/>
      <c r="C45" s="27"/>
      <c r="D45" s="27"/>
      <c r="E45" s="27"/>
      <c r="F45" s="27"/>
      <c r="G45" s="27"/>
      <c r="H45" s="27"/>
      <c r="I45" s="22"/>
      <c r="J45" s="27"/>
      <c r="K45" s="14"/>
      <c r="L45" s="14"/>
      <c r="M45" s="14"/>
      <c r="N45" s="14"/>
    </row>
    <row r="46" spans="1:14">
      <c r="A46" s="27"/>
      <c r="B46" s="27"/>
      <c r="C46" s="27"/>
      <c r="D46" s="27"/>
      <c r="E46" s="27"/>
      <c r="F46" s="27"/>
      <c r="G46" s="27"/>
      <c r="H46" s="27"/>
      <c r="I46" s="22"/>
      <c r="J46" s="27"/>
      <c r="K46" s="14"/>
      <c r="L46" s="14"/>
      <c r="M46" s="14"/>
      <c r="N46" s="14"/>
    </row>
    <row r="47" spans="1:14">
      <c r="A47" s="27"/>
      <c r="B47" s="27"/>
      <c r="C47" s="27"/>
      <c r="D47" s="27"/>
      <c r="E47" s="27"/>
      <c r="F47" s="27"/>
      <c r="G47" s="27"/>
      <c r="H47" s="27"/>
      <c r="I47" s="22"/>
      <c r="J47" s="27"/>
      <c r="K47" s="14"/>
      <c r="L47" s="14"/>
      <c r="M47" s="14"/>
      <c r="N47" s="14"/>
    </row>
    <row r="48" spans="1:14">
      <c r="A48" s="27"/>
      <c r="B48" s="27"/>
      <c r="C48" s="27"/>
      <c r="D48" s="27"/>
      <c r="E48" s="27"/>
      <c r="F48" s="27"/>
      <c r="G48" s="27"/>
      <c r="H48" s="27"/>
      <c r="I48" s="22"/>
      <c r="J48" s="27"/>
      <c r="K48" s="14"/>
      <c r="L48" s="14"/>
      <c r="M48" s="14"/>
      <c r="N48" s="14"/>
    </row>
    <row r="49" spans="1:10">
      <c r="A49" s="27"/>
      <c r="B49" s="27"/>
      <c r="C49" s="27"/>
      <c r="D49" s="27"/>
      <c r="E49" s="27"/>
      <c r="F49" s="27"/>
      <c r="G49" s="27"/>
      <c r="H49" s="27"/>
      <c r="I49" s="27"/>
      <c r="J49" s="27"/>
    </row>
  </sheetData>
  <mergeCells count="4">
    <mergeCell ref="B1:E1"/>
    <mergeCell ref="B3:E3"/>
    <mergeCell ref="H3:I3"/>
    <mergeCell ref="B14:I1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Licen Drinc</cp:lastModifiedBy>
  <cp:revision>2</cp:revision>
  <dcterms:created xsi:type="dcterms:W3CDTF">2025-09-07T08:07:39Z</dcterms:created>
  <dcterms:modified xsi:type="dcterms:W3CDTF">2025-09-10T14:50:19Z</dcterms:modified>
  <cp:category/>
  <cp:contentStatus/>
</cp:coreProperties>
</file>