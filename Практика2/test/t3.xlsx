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633" documentId="11_9E4E55BF84DCCE936123EA198B31F45B1AF97439" xr6:coauthVersionLast="47" xr6:coauthVersionMax="47" xr10:uidLastSave="{BD53B1FD-7B74-41A7-BB0E-94865F86DD6A}"/>
  <bookViews>
    <workbookView xWindow="240" yWindow="105" windowWidth="14805" windowHeight="8010" firstSheet="1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3" i="1"/>
  <c r="F14" i="1"/>
  <c r="F15" i="1"/>
  <c r="F16" i="1"/>
  <c r="F17" i="1"/>
  <c r="F18" i="1"/>
  <c r="F20" i="1"/>
  <c r="F3" i="1"/>
  <c r="H27" i="2"/>
  <c r="H2" i="2"/>
  <c r="H3" i="2"/>
  <c r="H4" i="2"/>
  <c r="H11" i="2"/>
  <c r="H12" i="2"/>
  <c r="H13" i="2"/>
  <c r="H15" i="2"/>
  <c r="H16" i="2"/>
  <c r="H17" i="2"/>
  <c r="H18" i="2"/>
  <c r="H19" i="2"/>
  <c r="H23" i="2"/>
  <c r="H24" i="2"/>
  <c r="H25" i="2"/>
  <c r="H28" i="2"/>
  <c r="F32" i="2"/>
  <c r="H32" i="2" s="1"/>
  <c r="F31" i="2"/>
  <c r="H31" i="2" s="1"/>
  <c r="F35" i="2"/>
  <c r="H35" i="2" s="1"/>
  <c r="F3" i="2"/>
  <c r="F4" i="2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F12" i="2"/>
  <c r="F13" i="2"/>
  <c r="F14" i="2"/>
  <c r="H14" i="2" s="1"/>
  <c r="F15" i="2"/>
  <c r="F16" i="2"/>
  <c r="F17" i="2"/>
  <c r="F18" i="2"/>
  <c r="F19" i="2"/>
  <c r="F20" i="2"/>
  <c r="H20" i="2" s="1"/>
  <c r="F21" i="2"/>
  <c r="H21" i="2" s="1"/>
  <c r="F22" i="2"/>
  <c r="H22" i="2" s="1"/>
  <c r="F23" i="2"/>
  <c r="F24" i="2"/>
  <c r="F25" i="2"/>
  <c r="F26" i="2"/>
  <c r="H26" i="2" s="1"/>
  <c r="F27" i="2"/>
  <c r="F28" i="2"/>
  <c r="F29" i="2"/>
  <c r="H29" i="2" s="1"/>
  <c r="F30" i="2"/>
  <c r="H30" i="2" s="1"/>
  <c r="F34" i="2"/>
  <c r="H34" i="2" s="1"/>
  <c r="F2" i="2"/>
</calcChain>
</file>

<file path=xl/sharedStrings.xml><?xml version="1.0" encoding="utf-8"?>
<sst xmlns="http://schemas.openxmlformats.org/spreadsheetml/2006/main" count="110" uniqueCount="100">
  <si>
    <t>№</t>
  </si>
  <si>
    <t>name</t>
  </si>
  <si>
    <t>sound</t>
  </si>
  <si>
    <t>level</t>
  </si>
  <si>
    <t>sprite</t>
  </si>
  <si>
    <t>ready?</t>
  </si>
  <si>
    <t>short description</t>
  </si>
  <si>
    <t>MainStages</t>
  </si>
  <si>
    <t>WindField</t>
  </si>
  <si>
    <t>зелёное поле где есть сильные ветра. Места даже не слышала о технологии, только дерево и немного верёвки.</t>
  </si>
  <si>
    <t>AttackedCity</t>
  </si>
  <si>
    <t>город который жил спокойно, но... мы пришли в момент. Здания напоминают с времён примерно с 19 века.</t>
  </si>
  <si>
    <t>FlyingFlashDrive</t>
  </si>
  <si>
    <t>огромны технологический корабль, который доставляет небольшую армию. Но кто-то под бьёт его (2 уровень).</t>
  </si>
  <si>
    <t>MagicWaters</t>
  </si>
  <si>
    <t>скрытые пещеры под озером, где технологии позволяют воде не вытекать, но входить и выходить из воды. Откуда это всё?</t>
  </si>
  <si>
    <t>NormalSnow</t>
  </si>
  <si>
    <t>обычная гора.</t>
  </si>
  <si>
    <t>SnowPowerPlant</t>
  </si>
  <si>
    <t>станция предназначена переработку снега в энергию. Не земные (название не придумал) так быстро отстраиваются.</t>
  </si>
  <si>
    <t>SonicFreeway</t>
  </si>
  <si>
    <t>шоссе которое связана с SnowPowerPlant и MetalControl. дорога появляется на глазах, а транспорт ещё быстрее, что убить может.</t>
  </si>
  <si>
    <t>CrystalValley</t>
  </si>
  <si>
    <t>долина в которой растут кристаллические растения.</t>
  </si>
  <si>
    <t>MetalControl</t>
  </si>
  <si>
    <t>башня, в которой не известна высота, ибо она растёт как дорога, а дно подавно неизвестна. Абсолютно автономна, без дополнительных строений, исключения энергии. Как они отстроили за 1 неделю. Цель ресурсы планеты.</t>
  </si>
  <si>
    <t>SpecialStages</t>
  </si>
  <si>
    <t>что ждет если не остановить</t>
  </si>
  <si>
    <t>IronWind</t>
  </si>
  <si>
    <t>куча ветревеков, но часть старые и сломанные.</t>
  </si>
  <si>
    <t>FrozenCity</t>
  </si>
  <si>
    <t>город во льду.</t>
  </si>
  <si>
    <t>CrystalLabyrinth</t>
  </si>
  <si>
    <t>походу зацепила взрывом из города, ибо всё во льду, но ближе к концу меньше льда.</t>
  </si>
  <si>
    <t>IceFactory</t>
  </si>
  <si>
    <t>сломаный и замороженный завод. Можно увидеть армию идущая к башне.</t>
  </si>
  <si>
    <t>DoomValley</t>
  </si>
  <si>
    <t>из пещер мы наблюдаем за битвой, где всё решено. После окончания уровня услышим хлопок и только белый свет.</t>
  </si>
  <si>
    <t>TotalControl</t>
  </si>
  <si>
    <t>башня всё также стоит, как тогда, кобуто ничего неизменилась.</t>
  </si>
  <si>
    <t>FinalGoodStages</t>
  </si>
  <si>
    <t>что бы попасть, надо из всех SpecialStages забрать два артефакта (всего их 2 и они одного типа)(артефакт позволяет перейти в будущее на более долгое время, по сравнению тем что мы использовали для входа на SpecialStages)(используется в финальном сражении, 0 - 2 фазы, 1 - 3 фазы, 2 - 4 фазы).</t>
  </si>
  <si>
    <t>DreamValley</t>
  </si>
  <si>
    <t>можно увидеть как башни нет, только яму где мы невидим дна. Мир и технологии процветает.</t>
  </si>
  <si>
    <t>Visual</t>
  </si>
  <si>
    <t>Software</t>
  </si>
  <si>
    <t>Sound</t>
  </si>
  <si>
    <t>Physics</t>
  </si>
  <si>
    <t>WindFlow</t>
  </si>
  <si>
    <t>Platform</t>
  </si>
  <si>
    <t>NormalAttack</t>
  </si>
  <si>
    <t>TopAttack</t>
  </si>
  <si>
    <t>WindAcceleration</t>
  </si>
  <si>
    <t>AirNormalAttack</t>
  </si>
  <si>
    <t>AirTopAttack</t>
  </si>
  <si>
    <t>AirLowAttack</t>
  </si>
  <si>
    <t>Jump</t>
  </si>
  <si>
    <t>DoubleJump</t>
  </si>
  <si>
    <t>?</t>
  </si>
  <si>
    <t>EnergyLeaves</t>
  </si>
  <si>
    <t>Menu</t>
  </si>
  <si>
    <t>TransitionToSpecialStages</t>
  </si>
  <si>
    <t>KeyToSpecialStages</t>
  </si>
  <si>
    <t>Timer</t>
  </si>
  <si>
    <t>Life</t>
  </si>
  <si>
    <t>HP</t>
  </si>
  <si>
    <t>Enemies</t>
  </si>
  <si>
    <t>DamageToPlayer</t>
  </si>
  <si>
    <t>DamageToEnemies</t>
  </si>
  <si>
    <t>Thorns</t>
  </si>
  <si>
    <t>LookDown</t>
  </si>
  <si>
    <t>LookUp</t>
  </si>
  <si>
    <t>Settings</t>
  </si>
  <si>
    <t>PixelCamera</t>
  </si>
  <si>
    <t>UnlockableAdditionalContent</t>
  </si>
  <si>
    <t>Parry</t>
  </si>
  <si>
    <t>DifficultiesForAll</t>
  </si>
  <si>
    <t>Bullet</t>
  </si>
  <si>
    <t>BallRolling</t>
  </si>
  <si>
    <t>SoundEffects</t>
  </si>
  <si>
    <t>Music</t>
  </si>
  <si>
    <t>баг</t>
  </si>
  <si>
    <t>описние</t>
  </si>
  <si>
    <t>Задачи</t>
  </si>
  <si>
    <t>Примичание</t>
  </si>
  <si>
    <t>сделать третьего врага</t>
  </si>
  <si>
    <t>-</t>
  </si>
  <si>
    <t>анимация уничтожения врагов</t>
  </si>
  <si>
    <t>сделать босса в WF</t>
  </si>
  <si>
    <t>добавить звук врагам</t>
  </si>
  <si>
    <t>растамить врагов по WF</t>
  </si>
  <si>
    <t>когда враги будут даделаны</t>
  </si>
  <si>
    <t>добавить текстуру для лесници в WF</t>
  </si>
  <si>
    <t>доделать текстуры в WF1</t>
  </si>
  <si>
    <t>сделать украшения для WF</t>
  </si>
  <si>
    <t>например опорные палки в пещерах</t>
  </si>
  <si>
    <t>сделать задний фон для WF</t>
  </si>
  <si>
    <t>добавить паварапы в WF2</t>
  </si>
  <si>
    <t>листя, кристалы и клеверы</t>
  </si>
  <si>
    <t>добавить текстуры в WF2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</si>
</sst>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E4" sqref="E4"/>
    </sheetView>
  </sheetViews>
  <sheetFormatPr defaultRowHeight="15"/>
  <cols>
    <col min="2" max="2" width="15.28515625" customWidth="1"/>
    <col min="7" max="7" width="16.42578125" customWidth="1"/>
    <col min="8" max="8" width="170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>
      <c r="A2" s="4"/>
      <c r="B2" s="4"/>
      <c r="C2" s="4"/>
      <c r="D2" s="4"/>
      <c r="E2" s="4"/>
      <c r="F2" s="4"/>
      <c r="G2" s="4" t="s">
        <v>7</v>
      </c>
      <c r="H2" s="4"/>
    </row>
    <row r="3" spans="1:8">
      <c r="A3">
        <v>1</v>
      </c>
      <c r="B3" t="s">
        <v>8</v>
      </c>
      <c r="C3">
        <v>1</v>
      </c>
      <c r="D3">
        <v>0.75</v>
      </c>
      <c r="E3">
        <v>0.5</v>
      </c>
      <c r="F3" t="b">
        <f>SUM(C3,D3,E3) &gt; 3</f>
        <v>0</v>
      </c>
      <c r="H3" s="3" t="s">
        <v>9</v>
      </c>
    </row>
    <row r="4" spans="1:8">
      <c r="A4">
        <v>2</v>
      </c>
      <c r="B4" t="s">
        <v>10</v>
      </c>
      <c r="C4">
        <v>0.75</v>
      </c>
      <c r="D4">
        <v>0</v>
      </c>
      <c r="E4">
        <v>0</v>
      </c>
      <c r="F4" t="b">
        <f t="shared" ref="F4:F20" si="0">SUM(C4,D4,E4) &gt; 3</f>
        <v>0</v>
      </c>
      <c r="H4" s="3" t="s">
        <v>11</v>
      </c>
    </row>
    <row r="5" spans="1:8">
      <c r="A5">
        <v>3</v>
      </c>
      <c r="B5" t="s">
        <v>12</v>
      </c>
      <c r="C5">
        <v>0</v>
      </c>
      <c r="D5">
        <v>0</v>
      </c>
      <c r="E5">
        <v>0</v>
      </c>
      <c r="F5" t="b">
        <f t="shared" si="0"/>
        <v>0</v>
      </c>
      <c r="H5" s="3" t="s">
        <v>13</v>
      </c>
    </row>
    <row r="6" spans="1:8">
      <c r="A6">
        <v>4</v>
      </c>
      <c r="B6" t="s">
        <v>14</v>
      </c>
      <c r="C6">
        <v>0.9</v>
      </c>
      <c r="D6">
        <v>0</v>
      </c>
      <c r="E6">
        <v>0</v>
      </c>
      <c r="F6" t="b">
        <f t="shared" si="0"/>
        <v>0</v>
      </c>
      <c r="H6" t="s">
        <v>15</v>
      </c>
    </row>
    <row r="7" spans="1:8">
      <c r="A7">
        <v>5</v>
      </c>
      <c r="B7" t="s">
        <v>16</v>
      </c>
      <c r="C7">
        <v>0</v>
      </c>
      <c r="D7">
        <v>0</v>
      </c>
      <c r="E7">
        <v>0</v>
      </c>
      <c r="F7" t="b">
        <f t="shared" si="0"/>
        <v>0</v>
      </c>
      <c r="H7" t="s">
        <v>17</v>
      </c>
    </row>
    <row r="8" spans="1:8">
      <c r="A8">
        <v>6</v>
      </c>
      <c r="B8" t="s">
        <v>18</v>
      </c>
      <c r="C8">
        <v>0</v>
      </c>
      <c r="D8">
        <v>0</v>
      </c>
      <c r="E8">
        <v>0</v>
      </c>
      <c r="F8" t="b">
        <f t="shared" si="0"/>
        <v>0</v>
      </c>
      <c r="H8" t="s">
        <v>19</v>
      </c>
    </row>
    <row r="9" spans="1:8">
      <c r="A9">
        <v>7</v>
      </c>
      <c r="B9" t="s">
        <v>20</v>
      </c>
      <c r="C9">
        <v>0</v>
      </c>
      <c r="D9">
        <v>0</v>
      </c>
      <c r="E9">
        <v>0</v>
      </c>
      <c r="F9" t="b">
        <f t="shared" si="0"/>
        <v>0</v>
      </c>
      <c r="H9" t="s">
        <v>21</v>
      </c>
    </row>
    <row r="10" spans="1:8">
      <c r="A10">
        <v>8</v>
      </c>
      <c r="B10" t="s">
        <v>22</v>
      </c>
      <c r="C10">
        <v>0</v>
      </c>
      <c r="D10">
        <v>0</v>
      </c>
      <c r="E10">
        <v>0</v>
      </c>
      <c r="F10" t="b">
        <f t="shared" si="0"/>
        <v>0</v>
      </c>
      <c r="H10" t="s">
        <v>23</v>
      </c>
    </row>
    <row r="11" spans="1:8" ht="29.25">
      <c r="A11">
        <v>9</v>
      </c>
      <c r="B11" t="s">
        <v>24</v>
      </c>
      <c r="C11">
        <v>0</v>
      </c>
      <c r="D11">
        <v>0</v>
      </c>
      <c r="E11">
        <v>0</v>
      </c>
      <c r="F11" t="b">
        <f t="shared" si="0"/>
        <v>0</v>
      </c>
      <c r="H11" s="3" t="s">
        <v>25</v>
      </c>
    </row>
    <row r="12" spans="1:8">
      <c r="A12" s="4"/>
      <c r="B12" s="4"/>
      <c r="C12" s="4"/>
      <c r="D12" s="4"/>
      <c r="E12" s="4"/>
      <c r="F12" s="4"/>
      <c r="G12" s="4" t="s">
        <v>26</v>
      </c>
      <c r="H12" s="4" t="s">
        <v>27</v>
      </c>
    </row>
    <row r="13" spans="1:8">
      <c r="A13">
        <v>1</v>
      </c>
      <c r="B13" t="s">
        <v>28</v>
      </c>
      <c r="C13">
        <v>1</v>
      </c>
      <c r="D13">
        <v>0</v>
      </c>
      <c r="E13">
        <v>0</v>
      </c>
      <c r="F13" t="b">
        <f t="shared" si="0"/>
        <v>0</v>
      </c>
      <c r="H13" t="s">
        <v>29</v>
      </c>
    </row>
    <row r="14" spans="1:8">
      <c r="A14">
        <v>2</v>
      </c>
      <c r="B14" t="s">
        <v>30</v>
      </c>
      <c r="C14">
        <v>1</v>
      </c>
      <c r="D14">
        <v>0</v>
      </c>
      <c r="E14">
        <v>0</v>
      </c>
      <c r="F14" t="b">
        <f t="shared" si="0"/>
        <v>0</v>
      </c>
      <c r="H14" t="s">
        <v>31</v>
      </c>
    </row>
    <row r="15" spans="1:8">
      <c r="A15">
        <v>3</v>
      </c>
      <c r="B15" t="s">
        <v>32</v>
      </c>
      <c r="C15">
        <v>0</v>
      </c>
      <c r="D15">
        <v>0</v>
      </c>
      <c r="E15">
        <v>0</v>
      </c>
      <c r="F15" t="b">
        <f t="shared" si="0"/>
        <v>0</v>
      </c>
      <c r="H15" s="3" t="s">
        <v>33</v>
      </c>
    </row>
    <row r="16" spans="1:8">
      <c r="A16">
        <v>4</v>
      </c>
      <c r="B16" t="s">
        <v>34</v>
      </c>
      <c r="C16">
        <v>0</v>
      </c>
      <c r="D16">
        <v>0</v>
      </c>
      <c r="E16">
        <v>0</v>
      </c>
      <c r="F16" t="b">
        <f t="shared" si="0"/>
        <v>0</v>
      </c>
      <c r="H16" t="s">
        <v>35</v>
      </c>
    </row>
    <row r="17" spans="1:8">
      <c r="A17">
        <v>5</v>
      </c>
      <c r="B17" t="s">
        <v>36</v>
      </c>
      <c r="C17">
        <v>0</v>
      </c>
      <c r="D17">
        <v>0</v>
      </c>
      <c r="E17">
        <v>0</v>
      </c>
      <c r="F17" t="b">
        <f t="shared" si="0"/>
        <v>0</v>
      </c>
      <c r="H17" t="s">
        <v>37</v>
      </c>
    </row>
    <row r="18" spans="1:8">
      <c r="A18">
        <v>6</v>
      </c>
      <c r="B18" t="s">
        <v>38</v>
      </c>
      <c r="C18">
        <v>0</v>
      </c>
      <c r="D18">
        <v>0</v>
      </c>
      <c r="E18">
        <v>0</v>
      </c>
      <c r="F18" t="b">
        <f t="shared" si="0"/>
        <v>0</v>
      </c>
      <c r="H18" t="s">
        <v>39</v>
      </c>
    </row>
    <row r="19" spans="1:8" ht="29.25">
      <c r="A19" s="4"/>
      <c r="B19" s="4"/>
      <c r="C19" s="4"/>
      <c r="D19" s="4"/>
      <c r="E19" s="4"/>
      <c r="F19" s="4"/>
      <c r="G19" s="4" t="s">
        <v>40</v>
      </c>
      <c r="H19" s="5" t="s">
        <v>41</v>
      </c>
    </row>
    <row r="20" spans="1:8">
      <c r="A20">
        <v>1</v>
      </c>
      <c r="B20" t="s">
        <v>42</v>
      </c>
      <c r="C20">
        <v>0.1</v>
      </c>
      <c r="D20">
        <v>0</v>
      </c>
      <c r="E20">
        <v>0</v>
      </c>
      <c r="F20" t="b">
        <f t="shared" si="0"/>
        <v>0</v>
      </c>
      <c r="H2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D7AD-947D-4730-ABDA-2765A4865033}">
  <dimension ref="A1:H35"/>
  <sheetViews>
    <sheetView workbookViewId="0">
      <selection activeCell="I37" sqref="I37"/>
    </sheetView>
  </sheetViews>
  <sheetFormatPr defaultRowHeight="15"/>
  <cols>
    <col min="2" max="2" width="25.85546875" customWidth="1"/>
    <col min="4" max="4" width="9.28515625" bestFit="1" customWidth="1"/>
  </cols>
  <sheetData>
    <row r="1" spans="1:8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5</v>
      </c>
    </row>
    <row r="2" spans="1:8">
      <c r="A2">
        <v>1</v>
      </c>
      <c r="B2" t="s">
        <v>47</v>
      </c>
      <c r="D2">
        <v>1</v>
      </c>
      <c r="F2">
        <f>C2+D2+E2</f>
        <v>1</v>
      </c>
      <c r="H2" s="1" t="b">
        <f>(F2=1)</f>
        <v>1</v>
      </c>
    </row>
    <row r="3" spans="1:8">
      <c r="A3">
        <v>2</v>
      </c>
      <c r="B3" t="s">
        <v>48</v>
      </c>
      <c r="C3">
        <v>1</v>
      </c>
      <c r="D3">
        <v>1</v>
      </c>
      <c r="F3">
        <f t="shared" ref="F3:F27" si="0">C3+D3+E3</f>
        <v>2</v>
      </c>
      <c r="H3" s="1" t="b">
        <f t="shared" ref="H3:H35" si="1">(F3=2)</f>
        <v>1</v>
      </c>
    </row>
    <row r="4" spans="1:8">
      <c r="A4">
        <v>3</v>
      </c>
      <c r="B4" t="s">
        <v>49</v>
      </c>
      <c r="C4">
        <v>1</v>
      </c>
      <c r="D4">
        <v>1</v>
      </c>
      <c r="F4">
        <f t="shared" si="0"/>
        <v>2</v>
      </c>
      <c r="H4" s="1" t="b">
        <f t="shared" si="1"/>
        <v>1</v>
      </c>
    </row>
    <row r="5" spans="1:8">
      <c r="A5">
        <v>4</v>
      </c>
      <c r="B5" t="s">
        <v>50</v>
      </c>
      <c r="C5">
        <v>0.7</v>
      </c>
      <c r="D5">
        <v>1</v>
      </c>
      <c r="F5">
        <f t="shared" si="0"/>
        <v>1.7</v>
      </c>
      <c r="H5" s="1" t="b">
        <f t="shared" si="1"/>
        <v>0</v>
      </c>
    </row>
    <row r="6" spans="1:8">
      <c r="A6">
        <v>5</v>
      </c>
      <c r="B6" t="s">
        <v>51</v>
      </c>
      <c r="C6">
        <v>1</v>
      </c>
      <c r="D6">
        <v>1</v>
      </c>
      <c r="F6">
        <f t="shared" si="0"/>
        <v>2</v>
      </c>
      <c r="H6" s="1" t="b">
        <f t="shared" si="1"/>
        <v>1</v>
      </c>
    </row>
    <row r="7" spans="1:8">
      <c r="A7">
        <v>6</v>
      </c>
      <c r="B7" t="s">
        <v>52</v>
      </c>
      <c r="C7">
        <v>1</v>
      </c>
      <c r="D7">
        <v>1</v>
      </c>
      <c r="F7">
        <f t="shared" si="0"/>
        <v>2</v>
      </c>
      <c r="H7" s="1" t="b">
        <f t="shared" si="1"/>
        <v>1</v>
      </c>
    </row>
    <row r="8" spans="1:8">
      <c r="A8">
        <v>7</v>
      </c>
      <c r="B8" t="s">
        <v>53</v>
      </c>
      <c r="C8">
        <v>0.5</v>
      </c>
      <c r="D8">
        <v>1</v>
      </c>
      <c r="F8">
        <f t="shared" si="0"/>
        <v>1.5</v>
      </c>
      <c r="H8" s="1" t="b">
        <f t="shared" si="1"/>
        <v>0</v>
      </c>
    </row>
    <row r="9" spans="1:8">
      <c r="A9">
        <v>8</v>
      </c>
      <c r="B9" t="s">
        <v>54</v>
      </c>
      <c r="C9">
        <v>1</v>
      </c>
      <c r="D9">
        <v>1</v>
      </c>
      <c r="F9">
        <f t="shared" si="0"/>
        <v>2</v>
      </c>
      <c r="H9" s="1" t="b">
        <f t="shared" si="1"/>
        <v>1</v>
      </c>
    </row>
    <row r="10" spans="1:8">
      <c r="A10">
        <v>9</v>
      </c>
      <c r="B10" t="s">
        <v>55</v>
      </c>
      <c r="C10">
        <v>1</v>
      </c>
      <c r="D10">
        <v>1</v>
      </c>
      <c r="F10">
        <f t="shared" si="0"/>
        <v>2</v>
      </c>
      <c r="H10" s="1" t="b">
        <f t="shared" si="1"/>
        <v>1</v>
      </c>
    </row>
    <row r="11" spans="1:8">
      <c r="A11">
        <v>10</v>
      </c>
      <c r="B11" t="s">
        <v>56</v>
      </c>
      <c r="C11">
        <v>1</v>
      </c>
      <c r="D11">
        <v>1</v>
      </c>
      <c r="F11">
        <f t="shared" si="0"/>
        <v>2</v>
      </c>
      <c r="H11" s="1" t="b">
        <f t="shared" si="1"/>
        <v>1</v>
      </c>
    </row>
    <row r="12" spans="1:8">
      <c r="A12">
        <v>11</v>
      </c>
      <c r="B12" t="s">
        <v>57</v>
      </c>
      <c r="C12">
        <v>0</v>
      </c>
      <c r="D12">
        <v>0</v>
      </c>
      <c r="F12">
        <f t="shared" si="0"/>
        <v>0</v>
      </c>
      <c r="G12" t="s">
        <v>58</v>
      </c>
      <c r="H12" s="1" t="b">
        <f t="shared" si="1"/>
        <v>0</v>
      </c>
    </row>
    <row r="13" spans="1:8">
      <c r="A13">
        <v>12</v>
      </c>
      <c r="B13" t="s">
        <v>59</v>
      </c>
      <c r="C13">
        <v>1</v>
      </c>
      <c r="D13">
        <v>1</v>
      </c>
      <c r="F13">
        <f t="shared" si="0"/>
        <v>2</v>
      </c>
      <c r="H13" s="1" t="b">
        <f t="shared" si="1"/>
        <v>1</v>
      </c>
    </row>
    <row r="14" spans="1:8">
      <c r="A14">
        <v>13</v>
      </c>
      <c r="B14" t="s">
        <v>60</v>
      </c>
      <c r="C14">
        <v>0.5</v>
      </c>
      <c r="D14">
        <v>0.5</v>
      </c>
      <c r="F14">
        <f t="shared" si="0"/>
        <v>1</v>
      </c>
      <c r="H14" s="1" t="b">
        <f t="shared" si="1"/>
        <v>0</v>
      </c>
    </row>
    <row r="15" spans="1:8">
      <c r="A15">
        <v>14</v>
      </c>
      <c r="B15" t="s">
        <v>61</v>
      </c>
      <c r="C15">
        <v>0</v>
      </c>
      <c r="D15">
        <v>0</v>
      </c>
      <c r="F15">
        <f t="shared" si="0"/>
        <v>0</v>
      </c>
      <c r="H15" s="1" t="b">
        <f t="shared" si="1"/>
        <v>0</v>
      </c>
    </row>
    <row r="16" spans="1:8">
      <c r="A16">
        <v>15</v>
      </c>
      <c r="B16" t="s">
        <v>62</v>
      </c>
      <c r="C16">
        <v>0</v>
      </c>
      <c r="D16">
        <v>0</v>
      </c>
      <c r="F16">
        <f t="shared" si="0"/>
        <v>0</v>
      </c>
      <c r="H16" s="1" t="b">
        <f t="shared" si="1"/>
        <v>0</v>
      </c>
    </row>
    <row r="17" spans="1:8">
      <c r="A17">
        <v>16</v>
      </c>
      <c r="B17" t="s">
        <v>63</v>
      </c>
      <c r="C17">
        <v>1</v>
      </c>
      <c r="D17">
        <v>1</v>
      </c>
      <c r="F17">
        <f t="shared" si="0"/>
        <v>2</v>
      </c>
      <c r="H17" s="1" t="b">
        <f t="shared" si="1"/>
        <v>1</v>
      </c>
    </row>
    <row r="18" spans="1:8">
      <c r="A18">
        <v>17</v>
      </c>
      <c r="B18" t="s">
        <v>64</v>
      </c>
      <c r="C18">
        <v>1</v>
      </c>
      <c r="D18">
        <v>1</v>
      </c>
      <c r="F18">
        <f t="shared" si="0"/>
        <v>2</v>
      </c>
      <c r="H18" s="1" t="b">
        <f t="shared" si="1"/>
        <v>1</v>
      </c>
    </row>
    <row r="19" spans="1:8">
      <c r="A19">
        <v>18</v>
      </c>
      <c r="B19" t="s">
        <v>65</v>
      </c>
      <c r="C19">
        <v>1</v>
      </c>
      <c r="D19">
        <v>1</v>
      </c>
      <c r="F19">
        <f t="shared" si="0"/>
        <v>2</v>
      </c>
      <c r="H19" s="1" t="b">
        <f t="shared" si="1"/>
        <v>1</v>
      </c>
    </row>
    <row r="20" spans="1:8">
      <c r="A20">
        <v>19</v>
      </c>
      <c r="B20" t="s">
        <v>66</v>
      </c>
      <c r="C20">
        <v>0.1</v>
      </c>
      <c r="D20">
        <v>0.1</v>
      </c>
      <c r="F20">
        <f t="shared" si="0"/>
        <v>0.2</v>
      </c>
      <c r="H20" s="1" t="b">
        <f t="shared" si="1"/>
        <v>0</v>
      </c>
    </row>
    <row r="21" spans="1:8">
      <c r="A21">
        <v>20</v>
      </c>
      <c r="B21" t="s">
        <v>67</v>
      </c>
      <c r="C21">
        <v>1</v>
      </c>
      <c r="D21">
        <v>1</v>
      </c>
      <c r="F21">
        <f t="shared" si="0"/>
        <v>2</v>
      </c>
      <c r="H21" s="1" t="b">
        <f t="shared" si="1"/>
        <v>1</v>
      </c>
    </row>
    <row r="22" spans="1:8">
      <c r="A22">
        <v>21</v>
      </c>
      <c r="B22" t="s">
        <v>68</v>
      </c>
      <c r="C22">
        <v>0</v>
      </c>
      <c r="D22">
        <v>1</v>
      </c>
      <c r="F22">
        <f t="shared" si="0"/>
        <v>1</v>
      </c>
      <c r="H22" s="1" t="b">
        <f t="shared" si="1"/>
        <v>0</v>
      </c>
    </row>
    <row r="23" spans="1:8">
      <c r="A23">
        <v>22</v>
      </c>
      <c r="B23" t="s">
        <v>69</v>
      </c>
      <c r="C23">
        <v>1</v>
      </c>
      <c r="D23">
        <v>1</v>
      </c>
      <c r="F23">
        <f t="shared" si="0"/>
        <v>2</v>
      </c>
      <c r="H23" s="1" t="b">
        <f t="shared" si="1"/>
        <v>1</v>
      </c>
    </row>
    <row r="24" spans="1:8">
      <c r="A24">
        <v>23</v>
      </c>
      <c r="B24" t="s">
        <v>70</v>
      </c>
      <c r="C24">
        <v>1</v>
      </c>
      <c r="D24">
        <v>1</v>
      </c>
      <c r="F24">
        <f t="shared" si="0"/>
        <v>2</v>
      </c>
      <c r="H24" s="1" t="b">
        <f t="shared" si="1"/>
        <v>1</v>
      </c>
    </row>
    <row r="25" spans="1:8">
      <c r="A25">
        <v>24</v>
      </c>
      <c r="B25" t="s">
        <v>71</v>
      </c>
      <c r="C25">
        <v>1</v>
      </c>
      <c r="D25">
        <v>1</v>
      </c>
      <c r="F25">
        <f t="shared" si="0"/>
        <v>2</v>
      </c>
      <c r="H25" s="1" t="b">
        <f t="shared" si="1"/>
        <v>1</v>
      </c>
    </row>
    <row r="26" spans="1:8">
      <c r="A26">
        <v>25</v>
      </c>
      <c r="B26" t="s">
        <v>72</v>
      </c>
      <c r="C26">
        <v>0.5</v>
      </c>
      <c r="D26">
        <v>0.6</v>
      </c>
      <c r="F26">
        <f t="shared" si="0"/>
        <v>1.1000000000000001</v>
      </c>
      <c r="H26" s="1" t="b">
        <f t="shared" si="1"/>
        <v>0</v>
      </c>
    </row>
    <row r="27" spans="1:8">
      <c r="A27">
        <v>26</v>
      </c>
      <c r="B27" t="s">
        <v>73</v>
      </c>
      <c r="D27">
        <v>0.5</v>
      </c>
      <c r="F27">
        <f t="shared" si="0"/>
        <v>0.5</v>
      </c>
      <c r="H27" s="1" t="b">
        <f>(F27=1)</f>
        <v>0</v>
      </c>
    </row>
    <row r="28" spans="1:8">
      <c r="A28">
        <v>27</v>
      </c>
      <c r="B28" t="s">
        <v>74</v>
      </c>
      <c r="C28">
        <v>0</v>
      </c>
      <c r="D28">
        <v>0</v>
      </c>
      <c r="F28">
        <f>C28+D28+E28</f>
        <v>0</v>
      </c>
      <c r="H28" s="1" t="b">
        <f t="shared" si="1"/>
        <v>0</v>
      </c>
    </row>
    <row r="29" spans="1:8">
      <c r="A29">
        <v>28</v>
      </c>
      <c r="B29" t="s">
        <v>75</v>
      </c>
      <c r="C29">
        <v>1</v>
      </c>
      <c r="D29">
        <v>0.75</v>
      </c>
      <c r="F29">
        <f>C29+D29+E29</f>
        <v>1.75</v>
      </c>
      <c r="H29" s="1" t="b">
        <f t="shared" si="1"/>
        <v>0</v>
      </c>
    </row>
    <row r="30" spans="1:8">
      <c r="A30">
        <v>29</v>
      </c>
      <c r="B30" t="s">
        <v>76</v>
      </c>
      <c r="C30">
        <v>0</v>
      </c>
      <c r="D30">
        <v>1</v>
      </c>
      <c r="F30">
        <f>C30+D30+E30</f>
        <v>1</v>
      </c>
      <c r="H30" s="1" t="b">
        <f t="shared" si="1"/>
        <v>0</v>
      </c>
    </row>
    <row r="31" spans="1:8">
      <c r="A31">
        <v>30</v>
      </c>
      <c r="B31" t="s">
        <v>77</v>
      </c>
      <c r="C31">
        <v>0.15</v>
      </c>
      <c r="D31">
        <v>0.25</v>
      </c>
      <c r="F31">
        <f>C31+D31+E31</f>
        <v>0.4</v>
      </c>
      <c r="H31" s="1" t="b">
        <f t="shared" si="1"/>
        <v>0</v>
      </c>
    </row>
    <row r="32" spans="1:8">
      <c r="A32">
        <v>31</v>
      </c>
      <c r="B32" t="s">
        <v>78</v>
      </c>
      <c r="C32">
        <v>1</v>
      </c>
      <c r="D32">
        <v>1</v>
      </c>
      <c r="F32">
        <f>C32+D32+E32</f>
        <v>2</v>
      </c>
      <c r="H32" s="1" t="b">
        <f t="shared" si="1"/>
        <v>1</v>
      </c>
    </row>
    <row r="33" spans="1:8">
      <c r="H33" s="1"/>
    </row>
    <row r="34" spans="1:8">
      <c r="A34">
        <v>32</v>
      </c>
      <c r="B34" t="s">
        <v>79</v>
      </c>
      <c r="D34">
        <v>0.5</v>
      </c>
      <c r="E34">
        <v>0.15</v>
      </c>
      <c r="F34">
        <f>C34+D34+E34</f>
        <v>0.65</v>
      </c>
      <c r="H34" s="1" t="b">
        <f t="shared" si="1"/>
        <v>0</v>
      </c>
    </row>
    <row r="35" spans="1:8">
      <c r="A35">
        <v>33</v>
      </c>
      <c r="B35" t="s">
        <v>80</v>
      </c>
      <c r="D35">
        <v>0.5</v>
      </c>
      <c r="E35">
        <v>0.2</v>
      </c>
      <c r="F35">
        <f>C35+D35+E35</f>
        <v>0.7</v>
      </c>
      <c r="H35" s="1" t="b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F578-CF7D-43E9-A9D9-816551E98E7C}">
  <dimension ref="A1:B1"/>
  <sheetViews>
    <sheetView workbookViewId="0">
      <selection activeCell="B20" sqref="B20"/>
    </sheetView>
  </sheetViews>
  <sheetFormatPr defaultRowHeight="15"/>
  <cols>
    <col min="1" max="1" width="17.140625" customWidth="1"/>
    <col min="2" max="2" width="45" customWidth="1"/>
  </cols>
  <sheetData>
    <row r="1" spans="1:2">
      <c r="A1" t="s">
        <v>81</v>
      </c>
      <c r="B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459A-7BA1-4B91-924F-58C806B0E312}">
  <dimension ref="A1:B13"/>
  <sheetViews>
    <sheetView workbookViewId="0">
      <selection activeCell="A13" sqref="A13"/>
    </sheetView>
  </sheetViews>
  <sheetFormatPr defaultRowHeight="15"/>
  <cols>
    <col min="1" max="1" width="41.28515625" customWidth="1"/>
    <col min="2" max="2" width="83.5703125" customWidth="1"/>
  </cols>
  <sheetData>
    <row r="1" spans="1:2">
      <c r="A1" s="2" t="s">
        <v>83</v>
      </c>
      <c r="B1" s="2" t="s">
        <v>84</v>
      </c>
    </row>
    <row r="2" spans="1:2">
      <c r="A2" t="s">
        <v>85</v>
      </c>
      <c r="B2" t="s">
        <v>86</v>
      </c>
    </row>
    <row r="3" spans="1:2">
      <c r="A3" t="s">
        <v>87</v>
      </c>
      <c r="B3" t="s">
        <v>86</v>
      </c>
    </row>
    <row r="4" spans="1:2">
      <c r="A4" t="s">
        <v>88</v>
      </c>
      <c r="B4" t="s">
        <v>86</v>
      </c>
    </row>
    <row r="5" spans="1:2">
      <c r="A5" t="s">
        <v>89</v>
      </c>
      <c r="B5" t="s">
        <v>86</v>
      </c>
    </row>
    <row r="7" spans="1:2">
      <c r="A7" t="s">
        <v>90</v>
      </c>
      <c r="B7" t="s">
        <v>91</v>
      </c>
    </row>
    <row r="8" spans="1:2">
      <c r="A8" t="s">
        <v>92</v>
      </c>
      <c r="B8" t="s">
        <v>86</v>
      </c>
    </row>
    <row r="9" spans="1:2">
      <c r="A9" t="s">
        <v>93</v>
      </c>
      <c r="B9" t="s">
        <v>86</v>
      </c>
    </row>
    <row r="10" spans="1:2">
      <c r="A10" t="s">
        <v>94</v>
      </c>
      <c r="B10" t="s">
        <v>95</v>
      </c>
    </row>
    <row r="11" spans="1:2">
      <c r="A11" t="s">
        <v>96</v>
      </c>
      <c r="B11" t="s">
        <v>86</v>
      </c>
    </row>
    <row r="12" spans="1:2">
      <c r="A12" t="s">
        <v>97</v>
      </c>
      <c r="B12" t="s">
        <v>98</v>
      </c>
    </row>
    <row r="13" spans="1:2">
      <c r="A13" t="s">
        <v>99</v>
      </c>
      <c r="B1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Licen Drinc</cp:lastModifiedBy>
  <cp:revision/>
  <dcterms:created xsi:type="dcterms:W3CDTF">2024-06-08T08:24:08Z</dcterms:created>
  <dcterms:modified xsi:type="dcterms:W3CDTF">2025-07-21T18:27:39Z</dcterms:modified>
  <cp:category/>
  <cp:contentStatus/>
</cp:coreProperties>
</file>